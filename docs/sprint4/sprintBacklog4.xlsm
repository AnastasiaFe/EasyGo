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Sprint!$C$3:$BJ$18</definedName>
    <definedName name="Burndown" localSheetId="1">Sprint!$J$4:$BI$19</definedName>
    <definedName name="Burndown">Sprint!$J$4:$BI$19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Sprint!$J$1:$BI$1</definedName>
    <definedName name="SprintDates">Sprint!$J$1:$BI$1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Sprint!$BJ$4:$BJ$19</definedName>
    <definedName name="TotalEffort">Sprint!$BJ$4:$BJ$19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E2" i="6" l="1"/>
  <c r="E20" i="8" l="1"/>
  <c r="J1" i="7"/>
  <c r="AF15" i="7" l="1"/>
  <c r="AI15" i="7" s="1"/>
  <c r="AL15" i="7" s="1"/>
  <c r="AO15" i="7" s="1"/>
  <c r="AR15" i="7" s="1"/>
  <c r="AU15" i="7" s="1"/>
  <c r="AX15" i="7" s="1"/>
  <c r="BA15" i="7" s="1"/>
  <c r="BD15" i="7" s="1"/>
  <c r="BG15" i="7" s="1"/>
  <c r="K15" i="7"/>
  <c r="L15" i="7" s="1"/>
  <c r="AF16" i="7"/>
  <c r="AI16" i="7" s="1"/>
  <c r="AL16" i="7" s="1"/>
  <c r="AO16" i="7" s="1"/>
  <c r="AR16" i="7" s="1"/>
  <c r="AU16" i="7" s="1"/>
  <c r="AX16" i="7" s="1"/>
  <c r="BA16" i="7" s="1"/>
  <c r="BD16" i="7" s="1"/>
  <c r="BG16" i="7" s="1"/>
  <c r="K16" i="7"/>
  <c r="L16" i="7" s="1"/>
  <c r="AF17" i="7"/>
  <c r="AI17" i="7" s="1"/>
  <c r="AL17" i="7" s="1"/>
  <c r="AO17" i="7" s="1"/>
  <c r="AR17" i="7" s="1"/>
  <c r="AU17" i="7" s="1"/>
  <c r="AX17" i="7" s="1"/>
  <c r="BA17" i="7" s="1"/>
  <c r="BD17" i="7" s="1"/>
  <c r="BG17" i="7" s="1"/>
  <c r="K17" i="7"/>
  <c r="L17" i="7" s="1"/>
  <c r="N15" i="7" l="1"/>
  <c r="Q15" i="7" s="1"/>
  <c r="T15" i="7" s="1"/>
  <c r="W15" i="7" s="1"/>
  <c r="Z15" i="7" s="1"/>
  <c r="AC15" i="7" s="1"/>
  <c r="N16" i="7"/>
  <c r="Q16" i="7" s="1"/>
  <c r="T16" i="7" s="1"/>
  <c r="W16" i="7" s="1"/>
  <c r="Z16" i="7" s="1"/>
  <c r="AC16" i="7" s="1"/>
  <c r="N17" i="7"/>
  <c r="Q17" i="7" s="1"/>
  <c r="T17" i="7" s="1"/>
  <c r="W17" i="7" s="1"/>
  <c r="Z17" i="7" s="1"/>
  <c r="AC17" i="7" s="1"/>
  <c r="AF9" i="7"/>
  <c r="AI9" i="7" s="1"/>
  <c r="AL9" i="7" s="1"/>
  <c r="AO9" i="7" s="1"/>
  <c r="AR9" i="7" s="1"/>
  <c r="AU9" i="7" s="1"/>
  <c r="AX9" i="7" s="1"/>
  <c r="BA9" i="7" s="1"/>
  <c r="BD9" i="7" s="1"/>
  <c r="BG9" i="7" s="1"/>
  <c r="K9" i="7"/>
  <c r="O15" i="7" l="1"/>
  <c r="O16" i="7"/>
  <c r="O17" i="7"/>
  <c r="N9" i="7"/>
  <c r="Q9" i="7" s="1"/>
  <c r="T9" i="7" s="1"/>
  <c r="W9" i="7" s="1"/>
  <c r="Z9" i="7" s="1"/>
  <c r="AC9" i="7" s="1"/>
  <c r="L9" i="7"/>
  <c r="G25" i="6"/>
  <c r="G24" i="6"/>
  <c r="G23" i="6"/>
  <c r="G22" i="6"/>
  <c r="G21" i="6"/>
  <c r="G20" i="6"/>
  <c r="G19" i="6"/>
  <c r="G18" i="6"/>
  <c r="G17" i="6"/>
  <c r="G16" i="6"/>
  <c r="G15" i="6"/>
  <c r="AF14" i="7"/>
  <c r="AI14" i="7" s="1"/>
  <c r="AL14" i="7" s="1"/>
  <c r="AO14" i="7" s="1"/>
  <c r="AR14" i="7" s="1"/>
  <c r="AU14" i="7" s="1"/>
  <c r="AX14" i="7" s="1"/>
  <c r="BA14" i="7" s="1"/>
  <c r="BD14" i="7" s="1"/>
  <c r="BG14" i="7" s="1"/>
  <c r="K14" i="7"/>
  <c r="L14" i="7" s="1"/>
  <c r="AF13" i="7"/>
  <c r="AI13" i="7" s="1"/>
  <c r="AL13" i="7" s="1"/>
  <c r="AO13" i="7" s="1"/>
  <c r="AR13" i="7" s="1"/>
  <c r="AU13" i="7" s="1"/>
  <c r="AX13" i="7" s="1"/>
  <c r="BA13" i="7" s="1"/>
  <c r="BD13" i="7" s="1"/>
  <c r="BG13" i="7" s="1"/>
  <c r="K13" i="7"/>
  <c r="L13" i="7" s="1"/>
  <c r="AF12" i="7"/>
  <c r="AI12" i="7" s="1"/>
  <c r="AL12" i="7" s="1"/>
  <c r="AO12" i="7" s="1"/>
  <c r="AR12" i="7" s="1"/>
  <c r="AU12" i="7" s="1"/>
  <c r="AX12" i="7" s="1"/>
  <c r="BA12" i="7" s="1"/>
  <c r="BD12" i="7" s="1"/>
  <c r="BG12" i="7" s="1"/>
  <c r="K12" i="7"/>
  <c r="AF11" i="7"/>
  <c r="AI11" i="7" s="1"/>
  <c r="AL11" i="7" s="1"/>
  <c r="AO11" i="7" s="1"/>
  <c r="AR11" i="7" s="1"/>
  <c r="AU11" i="7" s="1"/>
  <c r="AX11" i="7" s="1"/>
  <c r="BA11" i="7" s="1"/>
  <c r="BD11" i="7" s="1"/>
  <c r="BG11" i="7" s="1"/>
  <c r="K11" i="7"/>
  <c r="L11" i="7" s="1"/>
  <c r="AF10" i="7"/>
  <c r="AI10" i="7" s="1"/>
  <c r="AL10" i="7" s="1"/>
  <c r="AO10" i="7" s="1"/>
  <c r="AR10" i="7" s="1"/>
  <c r="AU10" i="7" s="1"/>
  <c r="AX10" i="7" s="1"/>
  <c r="BA10" i="7" s="1"/>
  <c r="BD10" i="7" s="1"/>
  <c r="BG10" i="7" s="1"/>
  <c r="K10" i="7"/>
  <c r="L10" i="7" s="1"/>
  <c r="AF8" i="7"/>
  <c r="AI8" i="7" s="1"/>
  <c r="AL8" i="7" s="1"/>
  <c r="AO8" i="7" s="1"/>
  <c r="AR8" i="7" s="1"/>
  <c r="AU8" i="7" s="1"/>
  <c r="AX8" i="7" s="1"/>
  <c r="BA8" i="7" s="1"/>
  <c r="BD8" i="7" s="1"/>
  <c r="BG8" i="7" s="1"/>
  <c r="K8" i="7"/>
  <c r="L8" i="7" s="1"/>
  <c r="AF7" i="7"/>
  <c r="AI7" i="7" s="1"/>
  <c r="AL7" i="7" s="1"/>
  <c r="AO7" i="7" s="1"/>
  <c r="AR7" i="7" s="1"/>
  <c r="AU7" i="7" s="1"/>
  <c r="AX7" i="7" s="1"/>
  <c r="BA7" i="7" s="1"/>
  <c r="BD7" i="7" s="1"/>
  <c r="BG7" i="7" s="1"/>
  <c r="K7" i="7"/>
  <c r="L7" i="7" s="1"/>
  <c r="AF6" i="7"/>
  <c r="AI6" i="7" s="1"/>
  <c r="AL6" i="7" s="1"/>
  <c r="AO6" i="7" s="1"/>
  <c r="AR6" i="7" s="1"/>
  <c r="AU6" i="7" s="1"/>
  <c r="AX6" i="7" s="1"/>
  <c r="BA6" i="7" s="1"/>
  <c r="BD6" i="7" s="1"/>
  <c r="BG6" i="7" s="1"/>
  <c r="K6" i="7"/>
  <c r="L6" i="7" s="1"/>
  <c r="AF5" i="7"/>
  <c r="AI5" i="7" s="1"/>
  <c r="AL5" i="7" s="1"/>
  <c r="AO5" i="7" s="1"/>
  <c r="AR5" i="7" s="1"/>
  <c r="AU5" i="7" s="1"/>
  <c r="AX5" i="7" s="1"/>
  <c r="BA5" i="7" s="1"/>
  <c r="BD5" i="7" s="1"/>
  <c r="BG5" i="7" s="1"/>
  <c r="K5" i="7"/>
  <c r="L5" i="7" s="1"/>
  <c r="AF18" i="7"/>
  <c r="AI18" i="7" s="1"/>
  <c r="AL18" i="7" s="1"/>
  <c r="AO18" i="7" s="1"/>
  <c r="AR18" i="7" s="1"/>
  <c r="AU18" i="7" s="1"/>
  <c r="AX18" i="7" s="1"/>
  <c r="BA18" i="7" s="1"/>
  <c r="BD18" i="7" s="1"/>
  <c r="BG18" i="7" s="1"/>
  <c r="K18" i="7"/>
  <c r="L18" i="7" s="1"/>
  <c r="R15" i="7" l="1"/>
  <c r="R16" i="7"/>
  <c r="R17" i="7"/>
  <c r="O9" i="7"/>
  <c r="L12" i="7"/>
  <c r="N5" i="7"/>
  <c r="Q5" i="7" s="1"/>
  <c r="T5" i="7" s="1"/>
  <c r="W5" i="7" s="1"/>
  <c r="Z5" i="7" s="1"/>
  <c r="AC5" i="7" s="1"/>
  <c r="N6" i="7"/>
  <c r="Q6" i="7" s="1"/>
  <c r="T6" i="7" s="1"/>
  <c r="W6" i="7" s="1"/>
  <c r="Z6" i="7" s="1"/>
  <c r="AC6" i="7" s="1"/>
  <c r="N7" i="7"/>
  <c r="Q7" i="7" s="1"/>
  <c r="T7" i="7" s="1"/>
  <c r="W7" i="7" s="1"/>
  <c r="Z7" i="7" s="1"/>
  <c r="AC7" i="7" s="1"/>
  <c r="N8" i="7"/>
  <c r="Q8" i="7" s="1"/>
  <c r="T8" i="7" s="1"/>
  <c r="W8" i="7" s="1"/>
  <c r="Z8" i="7" s="1"/>
  <c r="AC8" i="7" s="1"/>
  <c r="N10" i="7"/>
  <c r="Q10" i="7" s="1"/>
  <c r="T10" i="7" s="1"/>
  <c r="W10" i="7" s="1"/>
  <c r="Z10" i="7" s="1"/>
  <c r="AC10" i="7" s="1"/>
  <c r="N11" i="7"/>
  <c r="Q11" i="7" s="1"/>
  <c r="T11" i="7" s="1"/>
  <c r="W11" i="7" s="1"/>
  <c r="Z11" i="7" s="1"/>
  <c r="AC11" i="7" s="1"/>
  <c r="N12" i="7"/>
  <c r="Q12" i="7" s="1"/>
  <c r="T12" i="7" s="1"/>
  <c r="W12" i="7" s="1"/>
  <c r="Z12" i="7" s="1"/>
  <c r="AC12" i="7" s="1"/>
  <c r="N13" i="7"/>
  <c r="N14" i="7"/>
  <c r="Q14" i="7" s="1"/>
  <c r="T14" i="7" s="1"/>
  <c r="W14" i="7" s="1"/>
  <c r="Z14" i="7" s="1"/>
  <c r="AC14" i="7" s="1"/>
  <c r="N18" i="7"/>
  <c r="U15" i="7" l="1"/>
  <c r="X15" i="7" s="1"/>
  <c r="U16" i="7"/>
  <c r="X16" i="7" s="1"/>
  <c r="AA16" i="7" s="1"/>
  <c r="U17" i="7"/>
  <c r="R9" i="7"/>
  <c r="U9" i="7" s="1"/>
  <c r="X9" i="7" s="1"/>
  <c r="Q13" i="7"/>
  <c r="T13" i="7" s="1"/>
  <c r="W13" i="7" s="1"/>
  <c r="Z13" i="7" s="1"/>
  <c r="AC13" i="7" s="1"/>
  <c r="O13" i="7"/>
  <c r="O6" i="7"/>
  <c r="R6" i="7" s="1"/>
  <c r="U6" i="7" s="1"/>
  <c r="O14" i="7"/>
  <c r="R14" i="7" s="1"/>
  <c r="O12" i="7"/>
  <c r="R12" i="7" s="1"/>
  <c r="O10" i="7"/>
  <c r="R10" i="7" s="1"/>
  <c r="O8" i="7"/>
  <c r="R8" i="7" s="1"/>
  <c r="O7" i="7"/>
  <c r="R7" i="7" s="1"/>
  <c r="U7" i="7" s="1"/>
  <c r="O5" i="7"/>
  <c r="O11" i="7"/>
  <c r="Q18" i="7"/>
  <c r="T18" i="7" s="1"/>
  <c r="W18" i="7" s="1"/>
  <c r="Z18" i="7" s="1"/>
  <c r="AC18" i="7" s="1"/>
  <c r="O18" i="7"/>
  <c r="AA15" i="7" l="1"/>
  <c r="AD15" i="7" s="1"/>
  <c r="AD16" i="7"/>
  <c r="X17" i="7"/>
  <c r="R13" i="7"/>
  <c r="U13" i="7" s="1"/>
  <c r="AA9" i="7"/>
  <c r="AD9" i="7" s="1"/>
  <c r="U14" i="7"/>
  <c r="R11" i="7"/>
  <c r="U11" i="7" s="1"/>
  <c r="U12" i="7"/>
  <c r="X7" i="7"/>
  <c r="AA7" i="7" s="1"/>
  <c r="U10" i="7"/>
  <c r="X10" i="7" s="1"/>
  <c r="U8" i="7"/>
  <c r="X8" i="7" s="1"/>
  <c r="AA8" i="7" s="1"/>
  <c r="X6" i="7"/>
  <c r="AA6" i="7" s="1"/>
  <c r="R5" i="7"/>
  <c r="R18" i="7"/>
  <c r="U18" i="7" s="1"/>
  <c r="X18" i="7" s="1"/>
  <c r="AA18" i="7" s="1"/>
  <c r="AA17" i="7" l="1"/>
  <c r="AA10" i="7"/>
  <c r="AD10" i="7" s="1"/>
  <c r="X13" i="7"/>
  <c r="AA13" i="7" s="1"/>
  <c r="X11" i="7"/>
  <c r="AA11" i="7" s="1"/>
  <c r="X14" i="7"/>
  <c r="AA14" i="7" s="1"/>
  <c r="AD8" i="7"/>
  <c r="AD7" i="7"/>
  <c r="U5" i="7"/>
  <c r="AD6" i="7"/>
  <c r="X12" i="7"/>
  <c r="AD18" i="7"/>
  <c r="G15" i="7" l="1"/>
  <c r="AD17" i="7"/>
  <c r="AD14" i="7"/>
  <c r="AD13" i="7"/>
  <c r="AA12" i="7"/>
  <c r="X5" i="7"/>
  <c r="AA5" i="7" s="1"/>
  <c r="AD11" i="7"/>
  <c r="AG15" i="7" l="1"/>
  <c r="AJ15" i="7" s="1"/>
  <c r="AM15" i="7" s="1"/>
  <c r="AP15" i="7" s="1"/>
  <c r="AS15" i="7" s="1"/>
  <c r="AV15" i="7" s="1"/>
  <c r="AY15" i="7" s="1"/>
  <c r="BB15" i="7" s="1"/>
  <c r="BE15" i="7" s="1"/>
  <c r="BH15" i="7" s="1"/>
  <c r="G16" i="7"/>
  <c r="BJ15" i="7"/>
  <c r="G9" i="7"/>
  <c r="G10" i="7"/>
  <c r="BJ8" i="7"/>
  <c r="AD5" i="7"/>
  <c r="G11" i="7"/>
  <c r="AD12" i="7"/>
  <c r="BJ6" i="7" l="1"/>
  <c r="G6" i="7"/>
  <c r="G7" i="7"/>
  <c r="G8" i="7"/>
  <c r="G13" i="7"/>
  <c r="AY14" i="7"/>
  <c r="BB14" i="7" s="1"/>
  <c r="BE14" i="7" s="1"/>
  <c r="BH14" i="7" s="1"/>
  <c r="BJ5" i="7"/>
  <c r="BJ17" i="7"/>
  <c r="BJ16" i="7"/>
  <c r="AG16" i="7"/>
  <c r="AJ16" i="7" s="1"/>
  <c r="AM16" i="7" s="1"/>
  <c r="AP16" i="7" s="1"/>
  <c r="AS16" i="7" s="1"/>
  <c r="AV16" i="7" s="1"/>
  <c r="AY16" i="7" s="1"/>
  <c r="BB16" i="7" s="1"/>
  <c r="BE16" i="7" s="1"/>
  <c r="BH16" i="7" s="1"/>
  <c r="BJ9" i="7"/>
  <c r="AG9" i="7"/>
  <c r="AJ9" i="7" s="1"/>
  <c r="AM9" i="7" s="1"/>
  <c r="AP9" i="7" s="1"/>
  <c r="AS9" i="7" s="1"/>
  <c r="AV9" i="7" s="1"/>
  <c r="AY9" i="7" s="1"/>
  <c r="BB9" i="7" s="1"/>
  <c r="BE9" i="7" s="1"/>
  <c r="BH9" i="7" s="1"/>
  <c r="AG10" i="7"/>
  <c r="AJ10" i="7"/>
  <c r="AM10" i="7" s="1"/>
  <c r="BH10" i="7"/>
  <c r="BJ10" i="7"/>
  <c r="AP10" i="7"/>
  <c r="AS10" i="7" s="1"/>
  <c r="AV10" i="7" s="1"/>
  <c r="AY10" i="7" s="1"/>
  <c r="BB10" i="7" s="1"/>
  <c r="BE10" i="7" s="1"/>
  <c r="AG11" i="7"/>
  <c r="AJ11" i="7" s="1"/>
  <c r="AM11" i="7" s="1"/>
  <c r="AP11" i="7" s="1"/>
  <c r="AS11" i="7" s="1"/>
  <c r="AV11" i="7" s="1"/>
  <c r="AY11" i="7" s="1"/>
  <c r="BB11" i="7" s="1"/>
  <c r="BE11" i="7" s="1"/>
  <c r="BH11" i="7" s="1"/>
  <c r="BJ11" i="7"/>
  <c r="BJ7" i="7"/>
  <c r="BH8" i="7"/>
  <c r="AG8" i="7"/>
  <c r="AJ8" i="7" s="1"/>
  <c r="AM8" i="7" s="1"/>
  <c r="AP8" i="7" s="1"/>
  <c r="AS8" i="7" s="1"/>
  <c r="AV8" i="7" s="1"/>
  <c r="AY8" i="7" s="1"/>
  <c r="BB8" i="7" s="1"/>
  <c r="BE8" i="7" s="1"/>
  <c r="BE7" i="7"/>
  <c r="BH7" i="7" s="1"/>
  <c r="AG6" i="7"/>
  <c r="AJ6" i="7" s="1"/>
  <c r="AM6" i="7" s="1"/>
  <c r="AP6" i="7" s="1"/>
  <c r="AS6" i="7" s="1"/>
  <c r="AV6" i="7" s="1"/>
  <c r="AY6" i="7" s="1"/>
  <c r="BB6" i="7" s="1"/>
  <c r="BE6" i="7" s="1"/>
  <c r="BH6" i="7" s="1"/>
  <c r="AY7" i="7" l="1"/>
  <c r="BB7" i="7" s="1"/>
  <c r="G5" i="7"/>
  <c r="G17" i="7"/>
  <c r="G14" i="7"/>
  <c r="AG13" i="7"/>
  <c r="AJ13" i="7" s="1"/>
  <c r="AM13" i="7" s="1"/>
  <c r="AP13" i="7" s="1"/>
  <c r="AS13" i="7" s="1"/>
  <c r="AV13" i="7" s="1"/>
  <c r="AY13" i="7" s="1"/>
  <c r="BB13" i="7" s="1"/>
  <c r="BE13" i="7" s="1"/>
  <c r="BH13" i="7" s="1"/>
  <c r="AG7" i="7"/>
  <c r="AJ7" i="7" s="1"/>
  <c r="AM7" i="7" s="1"/>
  <c r="AP7" i="7" s="1"/>
  <c r="AS7" i="7" s="1"/>
  <c r="AV7" i="7" s="1"/>
  <c r="BJ13" i="7"/>
  <c r="BJ14" i="7"/>
  <c r="AG14" i="7"/>
  <c r="AJ14" i="7" s="1"/>
  <c r="AM14" i="7" s="1"/>
  <c r="AP14" i="7" s="1"/>
  <c r="AS14" i="7" s="1"/>
  <c r="AV14" i="7" s="1"/>
  <c r="AG5" i="7"/>
  <c r="AJ5" i="7" s="1"/>
  <c r="AM5" i="7" s="1"/>
  <c r="AP5" i="7" s="1"/>
  <c r="AS5" i="7" s="1"/>
  <c r="AV5" i="7" s="1"/>
  <c r="AY5" i="7" s="1"/>
  <c r="BB5" i="7" s="1"/>
  <c r="BE5" i="7" s="1"/>
  <c r="BH5" i="7" s="1"/>
  <c r="AG17" i="7"/>
  <c r="AJ17" i="7" s="1"/>
  <c r="AM17" i="7" s="1"/>
  <c r="AP17" i="7" s="1"/>
  <c r="AS17" i="7" s="1"/>
  <c r="AV17" i="7" s="1"/>
  <c r="AY17" i="7" s="1"/>
  <c r="BB17" i="7" s="1"/>
  <c r="BE17" i="7" s="1"/>
  <c r="BH17" i="7" s="1"/>
  <c r="AY18" i="7" l="1"/>
  <c r="BB18" i="7" s="1"/>
  <c r="BE18" i="7" s="1"/>
  <c r="BH18" i="7" s="1"/>
  <c r="G18" i="7" l="1"/>
  <c r="AV12" i="7"/>
  <c r="AY12" i="7" s="1"/>
  <c r="BB12" i="7" s="1"/>
  <c r="BE12" i="7" s="1"/>
  <c r="G12" i="7"/>
  <c r="BJ12" i="7"/>
  <c r="AP12" i="7"/>
  <c r="AS12" i="7" s="1"/>
  <c r="AG12" i="7"/>
  <c r="AJ12" i="7"/>
  <c r="AM12" i="7" s="1"/>
  <c r="BH12" i="7"/>
  <c r="AG18" i="7"/>
  <c r="AJ18" i="7" s="1"/>
  <c r="AM18" i="7" s="1"/>
  <c r="AP18" i="7" s="1"/>
  <c r="AS18" i="7" s="1"/>
  <c r="AV18" i="7" s="1"/>
  <c r="BJ1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AF4" i="7"/>
  <c r="AI4" i="7" s="1"/>
  <c r="AL4" i="7" s="1"/>
  <c r="AO4" i="7" s="1"/>
  <c r="AR4" i="7" s="1"/>
  <c r="AU4" i="7" s="1"/>
  <c r="AX4" i="7" s="1"/>
  <c r="BA4" i="7" s="1"/>
  <c r="BD4" i="7" s="1"/>
  <c r="BG4" i="7" s="1"/>
  <c r="K4" i="7"/>
  <c r="L4" i="7" s="1"/>
  <c r="G1" i="7"/>
  <c r="D2" i="6"/>
  <c r="D3" i="6"/>
  <c r="I6" i="6" s="1"/>
  <c r="M1" i="7"/>
  <c r="O20" i="7"/>
  <c r="R20" i="7" s="1"/>
  <c r="U20" i="7" s="1"/>
  <c r="X20" i="7" s="1"/>
  <c r="AA20" i="7" s="1"/>
  <c r="AD20" i="7" s="1"/>
  <c r="Y24" i="7"/>
  <c r="AB24" i="7"/>
  <c r="J24" i="7"/>
  <c r="A19" i="8"/>
  <c r="BJ19" i="7"/>
  <c r="I24" i="7"/>
  <c r="M24" i="7"/>
  <c r="P24" i="7"/>
  <c r="S24" i="7"/>
  <c r="V24" i="7"/>
  <c r="AE24" i="7"/>
  <c r="AH24" i="7"/>
  <c r="AK24" i="7"/>
  <c r="AN24" i="7"/>
  <c r="AQ24" i="7"/>
  <c r="AT24" i="7"/>
  <c r="AW24" i="7"/>
  <c r="AZ24" i="7"/>
  <c r="BC24" i="7"/>
  <c r="BF24" i="7"/>
  <c r="AG20" i="7"/>
  <c r="AJ20" i="7" s="1"/>
  <c r="AM20" i="7" s="1"/>
  <c r="AP20" i="7" s="1"/>
  <c r="AS20" i="7" s="1"/>
  <c r="AV20" i="7" s="1"/>
  <c r="AY20" i="7" s="1"/>
  <c r="BB20" i="7" s="1"/>
  <c r="BE20" i="7" s="1"/>
  <c r="BH20" i="7" s="1"/>
  <c r="AE1" i="7"/>
  <c r="AH1" i="7" s="1"/>
  <c r="AK1" i="7" s="1"/>
  <c r="AN1" i="7" s="1"/>
  <c r="AQ1" i="7" s="1"/>
  <c r="AT1" i="7" s="1"/>
  <c r="AW1" i="7" s="1"/>
  <c r="AZ1" i="7" s="1"/>
  <c r="BC1" i="7" s="1"/>
  <c r="BF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AF24" i="7"/>
  <c r="AI24" i="7"/>
  <c r="N4" i="7"/>
  <c r="Q4" i="7" s="1"/>
  <c r="T4" i="7" s="1"/>
  <c r="W4" i="7" s="1"/>
  <c r="Z4" i="7" s="1"/>
  <c r="AC4" i="7" s="1"/>
  <c r="C8" i="6" s="1"/>
  <c r="AL24" i="7"/>
  <c r="K2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36" i="8"/>
  <c r="P1" i="7"/>
  <c r="F20" i="8"/>
  <c r="C25" i="9" l="1"/>
  <c r="N24" i="7"/>
  <c r="O4" i="7"/>
  <c r="R4" i="7" s="1"/>
  <c r="AO2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5" i="6"/>
  <c r="J18" i="6"/>
  <c r="J23" i="6"/>
  <c r="J22" i="6"/>
  <c r="J24" i="6"/>
  <c r="J19" i="6"/>
  <c r="J16" i="6"/>
  <c r="J17" i="6"/>
  <c r="K6" i="6"/>
  <c r="J25" i="6"/>
  <c r="J21" i="6"/>
  <c r="J20" i="6"/>
  <c r="S1" i="7"/>
  <c r="G20" i="8"/>
  <c r="F23" i="8"/>
  <c r="F22" i="8"/>
  <c r="F36" i="8" l="1"/>
  <c r="Q24" i="7"/>
  <c r="F31" i="8"/>
  <c r="W24" i="7"/>
  <c r="T24" i="7"/>
  <c r="F37" i="8"/>
  <c r="F35" i="8"/>
  <c r="U4" i="7"/>
  <c r="F24" i="8"/>
  <c r="F27" i="8" s="1"/>
  <c r="F28" i="8" s="1"/>
  <c r="AR24" i="7"/>
  <c r="Z2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16" i="6"/>
  <c r="K25" i="6"/>
  <c r="K20" i="6"/>
  <c r="K23" i="6"/>
  <c r="K19" i="6"/>
  <c r="K17" i="6"/>
  <c r="K18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AU24" i="7"/>
  <c r="G25" i="8"/>
  <c r="AC2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M6" i="6"/>
  <c r="L22" i="6"/>
  <c r="L24" i="6"/>
  <c r="L20" i="6"/>
  <c r="L15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AX24" i="7"/>
  <c r="M18" i="6"/>
  <c r="M17" i="6"/>
  <c r="M24" i="6"/>
  <c r="M25" i="6"/>
  <c r="M23" i="6"/>
  <c r="N6" i="6"/>
  <c r="O6" i="6" s="1"/>
  <c r="M15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I37" i="8"/>
  <c r="I23" i="8"/>
  <c r="I24" i="8" s="1"/>
  <c r="I27" i="8" s="1"/>
  <c r="I22" i="8"/>
  <c r="I31" i="8"/>
  <c r="I35" i="8" l="1"/>
  <c r="I36" i="8"/>
  <c r="I28" i="8"/>
  <c r="BA2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I25" i="8"/>
  <c r="BJ4" i="7" l="1"/>
  <c r="BG24" i="7"/>
  <c r="BD24" i="7"/>
  <c r="C9" i="6"/>
  <c r="C10" i="6" s="1"/>
  <c r="G4" i="7" l="1"/>
  <c r="AG4" i="7"/>
  <c r="AJ4" i="7" s="1"/>
  <c r="AM4" i="7" s="1"/>
  <c r="AP4" i="7" s="1"/>
  <c r="AS4" i="7" s="1"/>
  <c r="AV4" i="7" s="1"/>
  <c r="AY4" i="7" s="1"/>
  <c r="BB4" i="7" s="1"/>
  <c r="BE4" i="7" s="1"/>
  <c r="BH4" i="7" s="1"/>
  <c r="B30" i="9" l="1"/>
  <c r="B29" i="9"/>
  <c r="B31" i="9"/>
  <c r="B32" i="9"/>
  <c r="B28" i="9"/>
  <c r="B33" i="9" l="1"/>
  <c r="C28" i="9" s="1"/>
  <c r="C29" i="9" l="1"/>
  <c r="C30" i="9"/>
  <c r="C32" i="9"/>
  <c r="C31" i="9"/>
  <c r="I33" i="8"/>
  <c r="I29" i="8" s="1"/>
  <c r="G33" i="8"/>
  <c r="G32" i="8" s="1"/>
  <c r="H33" i="8"/>
  <c r="E33" i="8"/>
  <c r="F33" i="8"/>
  <c r="AG24" i="7"/>
  <c r="I32" i="8" l="1"/>
  <c r="C33" i="9"/>
  <c r="G29" i="8"/>
  <c r="H29" i="8"/>
  <c r="H32" i="8"/>
  <c r="E29" i="8"/>
  <c r="E32" i="8"/>
  <c r="F29" i="8"/>
  <c r="F32" i="8"/>
  <c r="AJ24" i="7"/>
  <c r="AM24" i="7" l="1"/>
  <c r="AP24" i="7" l="1"/>
  <c r="AS24" i="7" l="1"/>
  <c r="AV24" i="7" l="1"/>
  <c r="AY24" i="7" l="1"/>
  <c r="BB24" i="7" l="1"/>
  <c r="BE24" i="7" l="1"/>
  <c r="BH2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<sst xmlns="http://schemas.openxmlformats.org/spreadsheetml/2006/main" count="287" uniqueCount="152">
  <si>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</si>
  <si>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</si>
  <si>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</si>
  <si>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</si>
  <si>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</si>
  <si>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</si>
  <si>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</si>
  <si>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</si>
  <si>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</si>
  <si>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</si>
  <si>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</si>
  <si>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</si>
  <si>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</si>
  <si>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</si>
  <si>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</si>
  <si>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</si>
  <si>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</si>
  <si>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</si>
  <si>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</si>
  <si>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</si>
  <si>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</si>
  <si>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</si>
  <si>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</si>
  <si>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</si>
  <si>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</si>
  <si>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</si>
  <si>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</si>
  <si>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</si>
  <si>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</si>
  <si>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</si>
  <si>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</si>
  <si>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</si>
  <si>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</si>
  <si>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</si>
  <si>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</si>
  <si>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</si>
  <si>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</si>
  <si>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</si>
  <si>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</si>
  <si>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</si>
  <si>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</si>
  <si>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</si>
  <si>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</si>
  <si>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</si>
  <si>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</si>
  <si>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</si>
  <si>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</si>
  <si>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</si>
  <si>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</si>
  <si>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</si>
  <si>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</si>
  <si>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</si>
  <si>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</si>
  <si>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</si>
  <si>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</si>
  <si>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</si>
  <si>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</si>
  <si>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</si>
  <si>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</si>
  <si>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</si>
  <si>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</si>
  <si>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</si>
  <si>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</si>
  <si>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</si>
  <si>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</si>
  <si>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</si>
  <si>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</si>
  <si>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</si>
  <si>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</si>
  <si>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</si>
  <si>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</si>
  <si>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</si>
  <si>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</si>
  <si>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</si>
  <si>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</si>
  <si>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</si>
  <si>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</si>
  <si>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</si>
  <si>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</si>
  <si>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</si>
  <si>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</si>
  <si>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</si>
  <si>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</si>
  <si>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</si>
  <si>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</si>
  <si>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</si>
  <si>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</si>
  <si>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</si>
  <si>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</si>
  <si>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</si>
  <si>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</si>
  <si>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</si>
  <si>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</si>
  <si>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</si>
  <si>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</si>
  <si>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</si>
  <si>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</si>
  <si>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</si>
  <si>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</si>
  <si>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</si>
  <si>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</si>
  <si>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</si>
  <si>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</si>
  <si>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</si>
  <si>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</si>
  <si>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</si>
  <si>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</si>
  <si>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</si>
  <si>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</si>
  <si>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</si>
  <si>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</si>
  <si>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</si>
  <si>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</si>
  <si>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</si>
  <si>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</si>
  <si>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</si>
  <si>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</si>
  <si>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</si>
  <si>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</si>
  <si>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</si>
  <si>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</si>
  <si>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</si>
  <si>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</si>
  <si>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</si>
  <si>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</si>
  <si>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</si>
  <si>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написание баг-репорта</t>
  </si>
  <si>
    <t>olha.rassokha@nure.ua</t>
  </si>
  <si>
    <t>anna.nikonova@nure.ua</t>
  </si>
  <si>
    <t>Anastasia Fedorenko</t>
  </si>
  <si>
    <t>anastasiia.fedorenko@nure.ua</t>
  </si>
  <si>
    <t>Oleh Havrysh</t>
  </si>
  <si>
    <t>oleh.havrysh@nure.ua</t>
  </si>
  <si>
    <t>Oleksandr Shylin</t>
  </si>
  <si>
    <t>oleksandr.shylin1@nure.ua</t>
  </si>
  <si>
    <t>Irina Petrenko</t>
  </si>
  <si>
    <t>iryna.petrenko@nure.ua</t>
  </si>
  <si>
    <t>Olha Rassokha</t>
  </si>
  <si>
    <t>Anna Nikonova</t>
  </si>
  <si>
    <t>Ihor Kamianskiy</t>
  </si>
  <si>
    <t>kamyanskiy.i@gmail.com</t>
  </si>
  <si>
    <t>написание тест-кейсов</t>
  </si>
  <si>
    <t>локализация</t>
  </si>
  <si>
    <t>создание справки</t>
  </si>
  <si>
    <t>наполнение базы данных информацией</t>
  </si>
  <si>
    <t>реффакторинг кода</t>
  </si>
  <si>
    <t>тестирование юзабилити</t>
  </si>
  <si>
    <t>улучшение юзабилити</t>
  </si>
  <si>
    <t>заполнение документации</t>
  </si>
  <si>
    <t>рисование иконок</t>
  </si>
  <si>
    <t>внедрение иконок в приложение</t>
  </si>
  <si>
    <t>рефакторинг кода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</si>
</sst>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7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1" fillId="31" borderId="11" xfId="36" applyFill="1" applyBorder="1" applyAlignment="1" applyProtection="1"/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2" fillId="23" borderId="0" xfId="0" applyFont="1" applyFill="1" applyBorder="1" applyAlignment="1">
      <alignment horizontal="right"/>
    </xf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89"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88"/>
      <tableStyleElement type="headerRow" dxfId="87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Analysis!$E$33:$I$33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33</c:v>
                </c:pt>
                <c:pt idx="3">
                  <c:v>33</c:v>
                </c:pt>
                <c:pt idx="4">
                  <c:v>67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Analysis!$E$32:$I$32</c:f>
              <c:numCache>
                <c:formatCode>0</c:formatCode>
                <c:ptCount val="5"/>
                <c:pt idx="0">
                  <c:v>33</c:v>
                </c:pt>
                <c:pt idx="1">
                  <c:v>25</c:v>
                </c:pt>
                <c:pt idx="2">
                  <c:v>20</c:v>
                </c:pt>
                <c:pt idx="3">
                  <c:v>34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Analysis!$E$31:$I$31</c:f>
              <c:numCache>
                <c:formatCode>General</c:formatCode>
                <c:ptCount val="5"/>
                <c:pt idx="0">
                  <c:v>34</c:v>
                </c:pt>
                <c:pt idx="1">
                  <c:v>34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60512"/>
        <c:axId val="51786777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Analysis!$E$22:$I$22</c:f>
              <c:numCache>
                <c:formatCode>General</c:formatCode>
                <c:ptCount val="5"/>
                <c:pt idx="0">
                  <c:v>53</c:v>
                </c:pt>
                <c:pt idx="1">
                  <c:v>39</c:v>
                </c:pt>
                <c:pt idx="2">
                  <c:v>26</c:v>
                </c:pt>
                <c:pt idx="3">
                  <c:v>14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Analysis!$E$24:$I$24</c:f>
              <c:numCache>
                <c:formatCode>General</c:formatCode>
                <c:ptCount val="5"/>
                <c:pt idx="0">
                  <c:v>14</c:v>
                </c:pt>
                <c:pt idx="1">
                  <c:v>28</c:v>
                </c:pt>
                <c:pt idx="2">
                  <c:v>41</c:v>
                </c:pt>
                <c:pt idx="3">
                  <c:v>53</c:v>
                </c:pt>
                <c:pt idx="4">
                  <c:v>67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60512"/>
        <c:axId val="517867776"/>
      </c:lineChart>
      <c:catAx>
        <c:axId val="519360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786777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78677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1936051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8852480"/>
        <c:axId val="517871232"/>
      </c:barChart>
      <c:catAx>
        <c:axId val="528852480"/>
        <c:scaling>
          <c:orientation val="minMax"/>
        </c:scaling>
        <c:delete val="0"/>
        <c:axPos val="b"/>
        <c:majorTickMark val="out"/>
        <c:minorTickMark val="none"/>
        <c:tickLblPos val="nextTo"/>
        <c:crossAx val="517871232"/>
        <c:crosses val="autoZero"/>
        <c:auto val="1"/>
        <c:lblAlgn val="ctr"/>
        <c:lblOffset val="100"/>
        <c:noMultiLvlLbl val="0"/>
      </c:catAx>
      <c:valAx>
        <c:axId val="5178712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8852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8854528"/>
        <c:axId val="528449536"/>
      </c:barChart>
      <c:catAx>
        <c:axId val="528854528"/>
        <c:scaling>
          <c:orientation val="minMax"/>
        </c:scaling>
        <c:delete val="0"/>
        <c:axPos val="b"/>
        <c:majorTickMark val="out"/>
        <c:minorTickMark val="none"/>
        <c:tickLblPos val="nextTo"/>
        <c:crossAx val="528449536"/>
        <c:crosses val="autoZero"/>
        <c:auto val="1"/>
        <c:lblAlgn val="ctr"/>
        <c:lblOffset val="100"/>
        <c:noMultiLvlLbl val="0"/>
      </c:catAx>
      <c:valAx>
        <c:axId val="5284495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8854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8609280"/>
        <c:axId val="528451840"/>
      </c:barChart>
      <c:catAx>
        <c:axId val="528609280"/>
        <c:scaling>
          <c:orientation val="minMax"/>
        </c:scaling>
        <c:delete val="0"/>
        <c:axPos val="b"/>
        <c:majorTickMark val="out"/>
        <c:minorTickMark val="none"/>
        <c:tickLblPos val="nextTo"/>
        <c:crossAx val="528451840"/>
        <c:crosses val="autoZero"/>
        <c:auto val="1"/>
        <c:lblAlgn val="ctr"/>
        <c:lblOffset val="100"/>
        <c:noMultiLvlLbl val="0"/>
      </c:catAx>
      <c:valAx>
        <c:axId val="5284518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8609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123824</xdr:rowOff>
    </xdr:from>
    <xdr:to>
      <xdr:col>12</xdr:col>
      <xdr:colOff>209550</xdr:colOff>
      <xdr:row>18</xdr:row>
      <xdr:rowOff>142874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J2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4" sqref="E4:F17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6.42578125" style="6" customWidth="1"/>
    <col min="4" max="4" width="6" style="6" customWidth="1"/>
    <col min="5" max="5" width="43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3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hidden="1" customWidth="1" outlineLevel="1"/>
    <col min="33" max="33" width="2.42578125" style="6" hidden="1" customWidth="1" outlineLevel="1"/>
    <col min="34" max="35" width="3.28515625" style="6" hidden="1" customWidth="1" outlineLevel="1"/>
    <col min="36" max="36" width="2.42578125" style="6" hidden="1" customWidth="1" outlineLevel="1"/>
    <col min="37" max="38" width="3.28515625" style="6" hidden="1" customWidth="1" outlineLevel="1"/>
    <col min="39" max="39" width="2.42578125" style="6" hidden="1" customWidth="1" outlineLevel="1"/>
    <col min="40" max="41" width="3.28515625" style="6" hidden="1" customWidth="1" outlineLevel="1"/>
    <col min="42" max="42" width="2.42578125" style="6" hidden="1" customWidth="1" outlineLevel="1"/>
    <col min="43" max="44" width="3.28515625" style="6" hidden="1" customWidth="1" outlineLevel="1"/>
    <col min="45" max="45" width="2.42578125" style="6" hidden="1" customWidth="1" outlineLevel="1"/>
    <col min="46" max="47" width="3.28515625" style="6" hidden="1" customWidth="1" outlineLevel="1"/>
    <col min="48" max="48" width="2.42578125" style="6" hidden="1" customWidth="1" outlineLevel="1"/>
    <col min="49" max="50" width="3.28515625" style="6" hidden="1" customWidth="1" outlineLevel="1"/>
    <col min="51" max="51" width="2.42578125" style="6" hidden="1" customWidth="1" outlineLevel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1" width="2.42578125" style="6" customWidth="1" collapsed="1"/>
    <col min="62" max="62" width="8.140625" style="6" customWidth="1"/>
    <col min="63" max="16384" width="9.140625" style="6"/>
  </cols>
  <sheetData>
    <row r="1" spans="1:62" x14ac:dyDescent="0.2">
      <c r="A1" s="1"/>
      <c r="B1" s="1"/>
      <c r="C1" s="1"/>
      <c r="D1" s="1"/>
      <c r="E1" s="2"/>
      <c r="F1" s="3" t="s">
        <v>23</v>
      </c>
      <c r="G1" s="4">
        <f>SprintStart</f>
        <v>42723</v>
      </c>
      <c r="H1" s="1"/>
      <c r="I1" s="1"/>
      <c r="J1" s="190">
        <f>SprintStart</f>
        <v>42723</v>
      </c>
      <c r="K1" s="190"/>
      <c r="L1" s="190"/>
      <c r="M1" s="190">
        <f>IF(AND(SkipWeekends, WEEKDAY(J1)=6),J1+3, J1+1)</f>
        <v>42724</v>
      </c>
      <c r="N1" s="190"/>
      <c r="O1" s="190"/>
      <c r="P1" s="190">
        <f>IF(AND(SkipWeekends, WEEKDAY(M1)=6),M1+3, M1+1)</f>
        <v>42725</v>
      </c>
      <c r="Q1" s="190"/>
      <c r="R1" s="190"/>
      <c r="S1" s="190">
        <f>IF(AND(SkipWeekends, WEEKDAY(P1)=6),P1+3, P1+1)</f>
        <v>42726</v>
      </c>
      <c r="T1" s="190"/>
      <c r="U1" s="190"/>
      <c r="V1" s="190">
        <f>IF(AND(SkipWeekends, WEEKDAY(S1)=6),S1+3, S1+1)</f>
        <v>42727</v>
      </c>
      <c r="W1" s="190"/>
      <c r="X1" s="190"/>
      <c r="Y1" s="190">
        <f>IF(AND(SkipWeekends, WEEKDAY(V1)=6),V1+3, V1+1)</f>
        <v>42730</v>
      </c>
      <c r="Z1" s="190"/>
      <c r="AA1" s="190"/>
      <c r="AB1" s="190">
        <f>IF(AND(SkipWeekends, WEEKDAY(Y1)=6),Y1+3, Y1+1)</f>
        <v>42731</v>
      </c>
      <c r="AC1" s="190"/>
      <c r="AD1" s="190"/>
      <c r="AE1" s="190" t="e">
        <f>IF(AND(SkipWeekends, WEEKDAY(#REF!)=6),#REF!+3,#REF!+ 1)</f>
        <v>#REF!</v>
      </c>
      <c r="AF1" s="190"/>
      <c r="AG1" s="190"/>
      <c r="AH1" s="190" t="e">
        <f>IF(AND(SkipWeekends, WEEKDAY(AE1)=6),AE1+3, AE1+1)</f>
        <v>#REF!</v>
      </c>
      <c r="AI1" s="190"/>
      <c r="AJ1" s="190"/>
      <c r="AK1" s="190" t="e">
        <f>IF(AND(SkipWeekends, WEEKDAY(AH1)=6),AH1+3, AH1+1)</f>
        <v>#REF!</v>
      </c>
      <c r="AL1" s="190"/>
      <c r="AM1" s="190"/>
      <c r="AN1" s="190" t="e">
        <f>IF(AND(SkipWeekends, WEEKDAY(AK1)=6),AK1+3, AK1+1)</f>
        <v>#REF!</v>
      </c>
      <c r="AO1" s="190"/>
      <c r="AP1" s="190"/>
      <c r="AQ1" s="190" t="e">
        <f>IF(AND(SkipWeekends, WEEKDAY(AN1)=6),AN1+3, AN1+1)</f>
        <v>#REF!</v>
      </c>
      <c r="AR1" s="190"/>
      <c r="AS1" s="190"/>
      <c r="AT1" s="190" t="e">
        <f>IF(AND(SkipWeekends, WEEKDAY(AQ1)=6),AQ1+3, AQ1+1)</f>
        <v>#REF!</v>
      </c>
      <c r="AU1" s="190"/>
      <c r="AV1" s="190"/>
      <c r="AW1" s="190" t="e">
        <f>IF(AND(SkipWeekends, WEEKDAY(AT1)=6),AT1+3, AT1+1)</f>
        <v>#REF!</v>
      </c>
      <c r="AX1" s="190"/>
      <c r="AY1" s="190"/>
      <c r="AZ1" s="190" t="e">
        <f>IF(AND(SkipWeekends, WEEKDAY(AW1)=6),AW1+3, AW1+1)</f>
        <v>#REF!</v>
      </c>
      <c r="BA1" s="190"/>
      <c r="BB1" s="190"/>
      <c r="BC1" s="190" t="e">
        <f>IF(AND(SkipWeekends, WEEKDAY(AZ1)=6),AZ1+3, AZ1+1)</f>
        <v>#REF!</v>
      </c>
      <c r="BD1" s="190"/>
      <c r="BE1" s="190"/>
      <c r="BF1" s="190" t="e">
        <f>IF(AND(SkipWeekends, WEEKDAY(BC1)=6),BC1+3, BC1+1)</f>
        <v>#REF!</v>
      </c>
      <c r="BG1" s="190"/>
      <c r="BH1" s="190"/>
      <c r="BI1" s="5"/>
      <c r="BJ1" s="1"/>
    </row>
    <row r="2" spans="1:62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5"/>
      <c r="BJ2" s="1"/>
    </row>
    <row r="3" spans="1:62" ht="38.25" customHeight="1" x14ac:dyDescent="0.2">
      <c r="A3" s="11" t="s">
        <v>95</v>
      </c>
      <c r="B3" s="11" t="s">
        <v>96</v>
      </c>
      <c r="C3" s="11" t="s">
        <v>75</v>
      </c>
      <c r="D3" s="11" t="s">
        <v>76</v>
      </c>
      <c r="E3" s="1" t="s">
        <v>77</v>
      </c>
      <c r="F3" s="1" t="s">
        <v>86</v>
      </c>
      <c r="G3" s="1" t="s">
        <v>0</v>
      </c>
      <c r="H3" s="12" t="s">
        <v>1</v>
      </c>
      <c r="I3" s="12" t="s">
        <v>78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4"/>
      <c r="BJ3" s="15" t="s">
        <v>30</v>
      </c>
    </row>
    <row r="4" spans="1:62" x14ac:dyDescent="0.2">
      <c r="A4" s="16" t="s">
        <v>98</v>
      </c>
      <c r="B4" s="16" t="s">
        <v>115</v>
      </c>
      <c r="C4" s="16"/>
      <c r="D4" s="17">
        <v>1</v>
      </c>
      <c r="E4" s="178" t="s">
        <v>142</v>
      </c>
      <c r="F4" s="18" t="s">
        <v>130</v>
      </c>
      <c r="G4" s="19" t="str">
        <f t="shared" ref="G4:G18" ca="1" si="0">(INDEX(Burndown,ROW(G4)-ROW(G$3),MIN(TODAY()-SprintStart,29)*3+3))</f>
        <v>Complete</v>
      </c>
      <c r="H4" s="20">
        <v>1</v>
      </c>
      <c r="I4" s="21">
        <v>5</v>
      </c>
      <c r="J4" s="22">
        <v>2</v>
      </c>
      <c r="K4" s="22">
        <f t="shared" ref="K4" si="1">MAX(I4-J4, 0)</f>
        <v>3</v>
      </c>
      <c r="L4" s="23" t="str">
        <f>IF(SUMPRODUCT($J$21:K$21,$J4:K4)&lt;0.5, "Pending", IF(K4&lt;0.5, "Complete", "In Progress"))</f>
        <v>In Progress</v>
      </c>
      <c r="M4" s="22">
        <v>2</v>
      </c>
      <c r="N4" s="22">
        <f t="shared" ref="N4" si="2">MAX(K4-M4,0)</f>
        <v>1</v>
      </c>
      <c r="O4" s="23" t="str">
        <f>IF(SUMPRODUCT($J$21:N$21,$J4:N4)&lt;0.5, "Pending", IF(N4&lt;0.5, "Complete", "In Progress"))</f>
        <v>In Progress</v>
      </c>
      <c r="P4" s="22">
        <v>1</v>
      </c>
      <c r="Q4" s="22">
        <f t="shared" ref="Q4" si="3">MAX(N4-P4,0)</f>
        <v>0</v>
      </c>
      <c r="R4" s="23" t="str">
        <f>IF(SUMPRODUCT($J$21:Q$21,$J4:Q4)&lt;0.5,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IF(SUMPRODUCT($J$21:T$21,$J4:T4)&lt;0.5,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IF(SUMPRODUCT($J$21:W$21,$J4:W4)&lt;0.5,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IF(SUMPRODUCT($J$21:Z$21,$J4:Z4)&lt;0.5,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IF(SUMPRODUCT($J$21:AC$21,$J4:AC4)&lt;0.5, "Pending", IF(AC4&lt;0.5, "Complete", "In Progress"))</f>
        <v>Complete</v>
      </c>
      <c r="AE4" s="22">
        <v>0</v>
      </c>
      <c r="AF4" s="22" t="e">
        <f>MAX(#REF!-AE4,0)</f>
        <v>#REF!</v>
      </c>
      <c r="AG4" s="23" t="e">
        <f>IF(SUMPRODUCT($J$21:AF$21,$J4:AF4)&lt;0.5, "Pending", IF(AF4&lt;0.5, "Complete", "In Progress"))</f>
        <v>#REF!</v>
      </c>
      <c r="AH4" s="22">
        <v>0</v>
      </c>
      <c r="AI4" s="22" t="e">
        <f t="shared" ref="AI4" si="8">MAX(AF4-AH4,0)</f>
        <v>#REF!</v>
      </c>
      <c r="AJ4" s="23" t="e">
        <f>IF(SUMPRODUCT($J$21:AI$21,$J4:AI4)&lt;0.5, "Pending", IF(AI4&lt;0.5, "Complete", "In Progress"))</f>
        <v>#REF!</v>
      </c>
      <c r="AK4" s="22">
        <v>0</v>
      </c>
      <c r="AL4" s="22" t="e">
        <f t="shared" ref="AL4" si="9">MAX(AI4-AK4,0)</f>
        <v>#REF!</v>
      </c>
      <c r="AM4" s="23" t="e">
        <f>IF(SUMPRODUCT($J$21:AL$21,$J4:AL4)&lt;0.5, "Pending", IF(AL4&lt;0.5, "Complete", "In Progress"))</f>
        <v>#REF!</v>
      </c>
      <c r="AN4" s="22">
        <v>0</v>
      </c>
      <c r="AO4" s="22" t="e">
        <f t="shared" ref="AO4" si="10">MAX(AL4-AN4,0)</f>
        <v>#REF!</v>
      </c>
      <c r="AP4" s="23" t="e">
        <f>IF(SUMPRODUCT($J$21:AO$21,$J4:AO4)&lt;0.5, "Pending", IF(AO4&lt;0.5, "Complete", "In Progress"))</f>
        <v>#REF!</v>
      </c>
      <c r="AQ4" s="22">
        <v>0</v>
      </c>
      <c r="AR4" s="22" t="e">
        <f t="shared" ref="AR4" si="11">MAX(AO4-AQ4,0)</f>
        <v>#REF!</v>
      </c>
      <c r="AS4" s="23" t="e">
        <f>IF(SUMPRODUCT($J$21:AR$21,$J4:AR4)&lt;0.5, "Pending", IF(AR4&lt;0.5, "Complete", "In Progress"))</f>
        <v>#REF!</v>
      </c>
      <c r="AT4" s="22">
        <v>0</v>
      </c>
      <c r="AU4" s="22" t="e">
        <f t="shared" ref="AU4" si="12">MAX(AR4-AT4,0)</f>
        <v>#REF!</v>
      </c>
      <c r="AV4" s="23" t="e">
        <f>IF(SUMPRODUCT($J$21:AU$21,$J4:AU4)&lt;0.5, "Pending", IF(AU4&lt;0.5, "Complete", "In Progress"))</f>
        <v>#REF!</v>
      </c>
      <c r="AW4" s="22">
        <v>0</v>
      </c>
      <c r="AX4" s="22" t="e">
        <f t="shared" ref="AX4" si="13">MAX(AU4-AW4,0)</f>
        <v>#REF!</v>
      </c>
      <c r="AY4" s="23" t="e">
        <f>IF(SUMPRODUCT($J$21:AX$21,$J4:AX4)&lt;0.5, "Pending", IF(AX4&lt;0.5, "Complete", "In Progress"))</f>
        <v>#REF!</v>
      </c>
      <c r="AZ4" s="22">
        <v>0</v>
      </c>
      <c r="BA4" s="22" t="e">
        <f t="shared" ref="BA4" si="14">MAX(AX4-AZ4,0)</f>
        <v>#REF!</v>
      </c>
      <c r="BB4" s="23" t="e">
        <f>IF(SUMPRODUCT($J$21:BA$21,$J4:BA4)&lt;0.5,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IF(SUMPRODUCT($J$21:BD$21,$J4:BD4)&lt;0.5,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IF(SUMPRODUCT($J$21:BG$21,$J4:BG4)&lt;0.5, "Pending", IF(BG4&lt;0.5, "Complete", "In Progress"))</f>
        <v>#REF!</v>
      </c>
      <c r="BI4" s="24"/>
      <c r="BJ4" s="25">
        <f>SUMPRODUCT($H$21:AD$21,$H4:AD4)</f>
        <v>5</v>
      </c>
    </row>
    <row r="5" spans="1:62" x14ac:dyDescent="0.2">
      <c r="A5" s="16" t="s">
        <v>98</v>
      </c>
      <c r="B5" s="16" t="s">
        <v>115</v>
      </c>
      <c r="C5" s="16"/>
      <c r="D5" s="17">
        <v>3</v>
      </c>
      <c r="E5" s="178" t="s">
        <v>143</v>
      </c>
      <c r="F5" s="18" t="s">
        <v>134</v>
      </c>
      <c r="G5" s="19" t="str">
        <f t="shared" ca="1" si="0"/>
        <v>Complete</v>
      </c>
      <c r="H5" s="20">
        <v>1</v>
      </c>
      <c r="I5" s="21">
        <v>5</v>
      </c>
      <c r="J5" s="22"/>
      <c r="K5" s="22">
        <f t="shared" ref="K5:K14" si="17">MAX(I5-J5, 0)</f>
        <v>5</v>
      </c>
      <c r="L5" s="23" t="str">
        <f>IF(SUMPRODUCT($J$21:K$21,$J5:K5)&lt;0.5, "Pending", IF(K5&lt;0.5, "Complete", "In Progress"))</f>
        <v>Pending</v>
      </c>
      <c r="M5" s="22">
        <v>0</v>
      </c>
      <c r="N5" s="22">
        <f t="shared" ref="N5:N14" si="18">MAX(K5-M5,0)</f>
        <v>5</v>
      </c>
      <c r="O5" s="23" t="str">
        <f>IF(SUMPRODUCT($J$21:N$21,$J5:N5)&lt;0.5, "Pending", IF(N5&lt;0.5, "Complete", "In Progress"))</f>
        <v>Pending</v>
      </c>
      <c r="P5" s="22">
        <v>2</v>
      </c>
      <c r="Q5" s="22">
        <f t="shared" ref="Q5:Q14" si="19">MAX(N5-P5,0)</f>
        <v>3</v>
      </c>
      <c r="R5" s="23" t="str">
        <f>IF(SUMPRODUCT($J$21:Q$21,$J5:Q5)&lt;0.5, "Pending", IF(Q5&lt;0.5, "Complete", "In Progress"))</f>
        <v>In Progress</v>
      </c>
      <c r="S5" s="22">
        <v>1</v>
      </c>
      <c r="T5" s="22">
        <f t="shared" ref="T5:T14" si="20">MAX(Q5-S5,0)</f>
        <v>2</v>
      </c>
      <c r="U5" s="23" t="str">
        <f>IF(SUMPRODUCT($J$21:T$21,$J5:T5)&lt;0.5, "Pending", IF(T5&lt;0.5, "Complete", "In Progress"))</f>
        <v>In Progress</v>
      </c>
      <c r="V5" s="22">
        <v>2</v>
      </c>
      <c r="W5" s="22">
        <f t="shared" ref="W5:W14" si="21">MAX(T5-V5,0)</f>
        <v>0</v>
      </c>
      <c r="X5" s="23" t="str">
        <f>IF(SUMPRODUCT($J$21:W$21,$J5:W5)&lt;0.5, "Pending", IF(W5&lt;0.5, "Complete", "In Progress"))</f>
        <v>Complete</v>
      </c>
      <c r="Y5" s="22">
        <v>0</v>
      </c>
      <c r="Z5" s="22">
        <f t="shared" ref="Z5:Z14" si="22">MAX(W5-Y5,0)</f>
        <v>0</v>
      </c>
      <c r="AA5" s="23" t="str">
        <f>IF(SUMPRODUCT($J$21:Z$21,$J5:Z5)&lt;0.5, "Pending", IF(Z5&lt;0.5, "Complete", "In Progress"))</f>
        <v>Complete</v>
      </c>
      <c r="AB5" s="22">
        <v>0</v>
      </c>
      <c r="AC5" s="22">
        <f t="shared" ref="AC5:AC14" si="23">MAX(Z5-AB5,0)</f>
        <v>0</v>
      </c>
      <c r="AD5" s="23" t="str">
        <f>IF(SUMPRODUCT($J$21:AC$21,$J5:AC5)&lt;0.5, "Pending", IF(AC5&lt;0.5, "Complete", "In Progress"))</f>
        <v>Complete</v>
      </c>
      <c r="AE5" s="22">
        <v>0</v>
      </c>
      <c r="AF5" s="22" t="e">
        <f>MAX(#REF!-AE5,0)</f>
        <v>#REF!</v>
      </c>
      <c r="AG5" s="23" t="e">
        <f>IF(SUMPRODUCT($J$21:AF$21,$J5:AF5)&lt;0.5, "Pending", IF(AF5&lt;0.5, "Complete", "In Progress"))</f>
        <v>#REF!</v>
      </c>
      <c r="AH5" s="22">
        <v>0</v>
      </c>
      <c r="AI5" s="22" t="e">
        <f t="shared" ref="AI5:AI14" si="24">MAX(AF5-AH5,0)</f>
        <v>#REF!</v>
      </c>
      <c r="AJ5" s="23" t="e">
        <f>IF(SUMPRODUCT($J$21:AI$21,$J5:AI5)&lt;0.5, "Pending", IF(AI5&lt;0.5, "Complete", "In Progress"))</f>
        <v>#REF!</v>
      </c>
      <c r="AK5" s="22">
        <v>0</v>
      </c>
      <c r="AL5" s="22" t="e">
        <f t="shared" ref="AL5:AL14" si="25">MAX(AI5-AK5,0)</f>
        <v>#REF!</v>
      </c>
      <c r="AM5" s="23" t="e">
        <f>IF(SUMPRODUCT($J$21:AL$21,$J5:AL5)&lt;0.5, "Pending", IF(AL5&lt;0.5, "Complete", "In Progress"))</f>
        <v>#REF!</v>
      </c>
      <c r="AN5" s="22">
        <v>0</v>
      </c>
      <c r="AO5" s="22" t="e">
        <f t="shared" ref="AO5:AO14" si="26">MAX(AL5-AN5,0)</f>
        <v>#REF!</v>
      </c>
      <c r="AP5" s="23" t="e">
        <f>IF(SUMPRODUCT($J$21:AO$21,$J5:AO5)&lt;0.5, "Pending", IF(AO5&lt;0.5, "Complete", "In Progress"))</f>
        <v>#REF!</v>
      </c>
      <c r="AQ5" s="22">
        <v>0</v>
      </c>
      <c r="AR5" s="22" t="e">
        <f t="shared" ref="AR5:AR14" si="27">MAX(AO5-AQ5,0)</f>
        <v>#REF!</v>
      </c>
      <c r="AS5" s="23" t="e">
        <f>IF(SUMPRODUCT($J$21:AR$21,$J5:AR5)&lt;0.5, "Pending", IF(AR5&lt;0.5, "Complete", "In Progress"))</f>
        <v>#REF!</v>
      </c>
      <c r="AT5" s="22">
        <v>0</v>
      </c>
      <c r="AU5" s="22" t="e">
        <f t="shared" ref="AU5:AU14" si="28">MAX(AR5-AT5,0)</f>
        <v>#REF!</v>
      </c>
      <c r="AV5" s="23" t="e">
        <f>IF(SUMPRODUCT($J$21:AU$21,$J5:AU5)&lt;0.5, "Pending", IF(AU5&lt;0.5, "Complete", "In Progress"))</f>
        <v>#REF!</v>
      </c>
      <c r="AW5" s="22">
        <v>0</v>
      </c>
      <c r="AX5" s="22" t="e">
        <f t="shared" ref="AX5:AX14" si="29">MAX(AU5-AW5,0)</f>
        <v>#REF!</v>
      </c>
      <c r="AY5" s="23" t="e">
        <f>IF(SUMPRODUCT($J$21:AX$21,$J5:AX5)&lt;0.5, "Pending", IF(AX5&lt;0.5, "Complete", "In Progress"))</f>
        <v>#REF!</v>
      </c>
      <c r="AZ5" s="22">
        <v>0</v>
      </c>
      <c r="BA5" s="22" t="e">
        <f t="shared" ref="BA5:BA14" si="30">MAX(AX5-AZ5,0)</f>
        <v>#REF!</v>
      </c>
      <c r="BB5" s="23" t="e">
        <f>IF(SUMPRODUCT($J$21:BA$21,$J5:BA5)&lt;0.5, "Pending", IF(BA5&lt;0.5, "Complete", "In Progress"))</f>
        <v>#REF!</v>
      </c>
      <c r="BC5" s="22">
        <v>0</v>
      </c>
      <c r="BD5" s="22" t="e">
        <f t="shared" ref="BD5:BD14" si="31">MAX(BA5-BC5,0)</f>
        <v>#REF!</v>
      </c>
      <c r="BE5" s="23" t="e">
        <f>IF(SUMPRODUCT($J$21:BD$21,$J5:BD5)&lt;0.5, "Pending", IF(BD5&lt;0.5, "Complete", "In Progress"))</f>
        <v>#REF!</v>
      </c>
      <c r="BF5" s="22">
        <v>0</v>
      </c>
      <c r="BG5" s="22" t="e">
        <f t="shared" ref="BG5:BG14" si="32">MAX(BD5-BF5,0)</f>
        <v>#REF!</v>
      </c>
      <c r="BH5" s="23" t="e">
        <f>IF(SUMPRODUCT($J$21:BG$21,$J5:BG5)&lt;0.5, "Pending", IF(BG5&lt;0.5, "Complete", "In Progress"))</f>
        <v>#REF!</v>
      </c>
      <c r="BI5" s="24"/>
      <c r="BJ5" s="25">
        <f>SUMPRODUCT($H$21:AD$21,$H5:AD5)</f>
        <v>5</v>
      </c>
    </row>
    <row r="6" spans="1:62" x14ac:dyDescent="0.2">
      <c r="A6" s="16" t="s">
        <v>98</v>
      </c>
      <c r="B6" s="16" t="s">
        <v>115</v>
      </c>
      <c r="C6" s="16"/>
      <c r="D6" s="17">
        <v>4</v>
      </c>
      <c r="E6" s="178" t="s">
        <v>144</v>
      </c>
      <c r="F6" s="18" t="s">
        <v>128</v>
      </c>
      <c r="G6" s="19" t="str">
        <f t="shared" ca="1" si="0"/>
        <v>Complete</v>
      </c>
      <c r="H6" s="20">
        <v>1</v>
      </c>
      <c r="I6" s="21">
        <v>5</v>
      </c>
      <c r="J6" s="22">
        <v>2</v>
      </c>
      <c r="K6" s="22">
        <f t="shared" si="17"/>
        <v>3</v>
      </c>
      <c r="L6" s="23" t="str">
        <f>IF(SUMPRODUCT($J$21:K$21,$J6:K6)&lt;0.5, "Pending", IF(K6&lt;0.5, "Complete", "In Progress"))</f>
        <v>In Progress</v>
      </c>
      <c r="M6" s="22">
        <v>2</v>
      </c>
      <c r="N6" s="22">
        <f t="shared" si="18"/>
        <v>1</v>
      </c>
      <c r="O6" s="23" t="str">
        <f>IF(SUMPRODUCT($J$21:N$21,$J6:N6)&lt;0.5, "Pending", IF(N6&lt;0.5, "Complete", "In Progress"))</f>
        <v>In Progress</v>
      </c>
      <c r="P6" s="22">
        <v>1</v>
      </c>
      <c r="Q6" s="22">
        <f t="shared" si="19"/>
        <v>0</v>
      </c>
      <c r="R6" s="23" t="str">
        <f>IF(SUMPRODUCT($J$21:Q$21,$J6:Q6)&lt;0.5, "Pending", IF(Q6&lt;0.5, "Complete", "In Progress"))</f>
        <v>Complete</v>
      </c>
      <c r="S6" s="22">
        <v>0</v>
      </c>
      <c r="T6" s="22">
        <f t="shared" si="20"/>
        <v>0</v>
      </c>
      <c r="U6" s="23" t="str">
        <f>IF(SUMPRODUCT($J$21:T$21,$J6:T6)&lt;0.5, "Pending", IF(T6&lt;0.5, "Complete", "In Progress"))</f>
        <v>Complete</v>
      </c>
      <c r="V6" s="22">
        <v>0</v>
      </c>
      <c r="W6" s="22">
        <f t="shared" si="21"/>
        <v>0</v>
      </c>
      <c r="X6" s="23" t="str">
        <f>IF(SUMPRODUCT($J$21:W$21,$J6:W6)&lt;0.5, "Pending", IF(W6&lt;0.5, "Complete", "In Progress"))</f>
        <v>Complete</v>
      </c>
      <c r="Y6" s="22">
        <v>0</v>
      </c>
      <c r="Z6" s="22">
        <f t="shared" si="22"/>
        <v>0</v>
      </c>
      <c r="AA6" s="23" t="str">
        <f>IF(SUMPRODUCT($J$21:Z$21,$J6:Z6)&lt;0.5, "Pending", IF(Z6&lt;0.5, "Complete", "In Progress"))</f>
        <v>Complete</v>
      </c>
      <c r="AB6" s="22">
        <v>0</v>
      </c>
      <c r="AC6" s="22">
        <f t="shared" si="23"/>
        <v>0</v>
      </c>
      <c r="AD6" s="23" t="str">
        <f>IF(SUMPRODUCT($J$21:AC$21,$J6:AC6)&lt;0.5, "Pending", IF(AC6&lt;0.5, "Complete", "In Progress"))</f>
        <v>Complete</v>
      </c>
      <c r="AE6" s="22">
        <v>0</v>
      </c>
      <c r="AF6" s="22" t="e">
        <f>MAX(#REF!-AE6,0)</f>
        <v>#REF!</v>
      </c>
      <c r="AG6" s="23" t="e">
        <f>IF(SUMPRODUCT($J$21:AF$21,$J6:AF6)&lt;0.5, "Pending", IF(AF6&lt;0.5, "Complete", "In Progress"))</f>
        <v>#REF!</v>
      </c>
      <c r="AH6" s="22">
        <v>0</v>
      </c>
      <c r="AI6" s="22" t="e">
        <f t="shared" si="24"/>
        <v>#REF!</v>
      </c>
      <c r="AJ6" s="23" t="e">
        <f>IF(SUMPRODUCT($J$21:AI$21,$J6:AI6)&lt;0.5, "Pending", IF(AI6&lt;0.5, "Complete", "In Progress"))</f>
        <v>#REF!</v>
      </c>
      <c r="AK6" s="22">
        <v>0</v>
      </c>
      <c r="AL6" s="22" t="e">
        <f t="shared" si="25"/>
        <v>#REF!</v>
      </c>
      <c r="AM6" s="23" t="e">
        <f>IF(SUMPRODUCT($J$21:AL$21,$J6:AL6)&lt;0.5, "Pending", IF(AL6&lt;0.5, "Complete", "In Progress"))</f>
        <v>#REF!</v>
      </c>
      <c r="AN6" s="22">
        <v>0</v>
      </c>
      <c r="AO6" s="22" t="e">
        <f t="shared" si="26"/>
        <v>#REF!</v>
      </c>
      <c r="AP6" s="23" t="e">
        <f>IF(SUMPRODUCT($J$21:AO$21,$J6:AO6)&lt;0.5, "Pending", IF(AO6&lt;0.5, "Complete", "In Progress"))</f>
        <v>#REF!</v>
      </c>
      <c r="AQ6" s="22">
        <v>0</v>
      </c>
      <c r="AR6" s="22" t="e">
        <f t="shared" si="27"/>
        <v>#REF!</v>
      </c>
      <c r="AS6" s="23" t="e">
        <f>IF(SUMPRODUCT($J$21:AR$21,$J6:AR6)&lt;0.5, "Pending", IF(AR6&lt;0.5, "Complete", "In Progress"))</f>
        <v>#REF!</v>
      </c>
      <c r="AT6" s="22">
        <v>0</v>
      </c>
      <c r="AU6" s="22" t="e">
        <f t="shared" si="28"/>
        <v>#REF!</v>
      </c>
      <c r="AV6" s="23" t="e">
        <f>IF(SUMPRODUCT($J$21:AU$21,$J6:AU6)&lt;0.5, "Pending", IF(AU6&lt;0.5, "Complete", "In Progress"))</f>
        <v>#REF!</v>
      </c>
      <c r="AW6" s="22">
        <v>0</v>
      </c>
      <c r="AX6" s="22" t="e">
        <f t="shared" si="29"/>
        <v>#REF!</v>
      </c>
      <c r="AY6" s="23" t="e">
        <f>IF(SUMPRODUCT($J$21:AX$21,$J6:AX6)&lt;0.5, "Pending", IF(AX6&lt;0.5, "Complete", "In Progress"))</f>
        <v>#REF!</v>
      </c>
      <c r="AZ6" s="22">
        <v>0</v>
      </c>
      <c r="BA6" s="22" t="e">
        <f t="shared" si="30"/>
        <v>#REF!</v>
      </c>
      <c r="BB6" s="23" t="e">
        <f>IF(SUMPRODUCT($J$21:BA$21,$J6:BA6)&lt;0.5, "Pending", IF(BA6&lt;0.5, "Complete", "In Progress"))</f>
        <v>#REF!</v>
      </c>
      <c r="BC6" s="22">
        <v>0</v>
      </c>
      <c r="BD6" s="22" t="e">
        <f t="shared" si="31"/>
        <v>#REF!</v>
      </c>
      <c r="BE6" s="23" t="e">
        <f>IF(SUMPRODUCT($J$21:BD$21,$J6:BD6)&lt;0.5, "Pending", IF(BD6&lt;0.5, "Complete", "In Progress"))</f>
        <v>#REF!</v>
      </c>
      <c r="BF6" s="22">
        <v>0</v>
      </c>
      <c r="BG6" s="22" t="e">
        <f t="shared" si="32"/>
        <v>#REF!</v>
      </c>
      <c r="BH6" s="23" t="e">
        <f>IF(SUMPRODUCT($J$21:BG$21,$J6:BG6)&lt;0.5, "Pending", IF(BG6&lt;0.5, "Complete", "In Progress"))</f>
        <v>#REF!</v>
      </c>
      <c r="BI6" s="24"/>
      <c r="BJ6" s="25">
        <f>SUMPRODUCT($H$21:AD$21,$H6:AD6)</f>
        <v>5</v>
      </c>
    </row>
    <row r="7" spans="1:62" x14ac:dyDescent="0.2">
      <c r="A7" s="16" t="s">
        <v>98</v>
      </c>
      <c r="B7" s="16" t="s">
        <v>115</v>
      </c>
      <c r="C7" s="16"/>
      <c r="D7" s="17">
        <v>5</v>
      </c>
      <c r="E7" s="178" t="s">
        <v>145</v>
      </c>
      <c r="F7" s="18" t="s">
        <v>132</v>
      </c>
      <c r="G7" s="19" t="str">
        <f t="shared" ca="1" si="0"/>
        <v>Complete</v>
      </c>
      <c r="H7" s="20">
        <v>1</v>
      </c>
      <c r="I7" s="21">
        <v>4</v>
      </c>
      <c r="J7" s="22">
        <v>2</v>
      </c>
      <c r="K7" s="22">
        <f t="shared" si="17"/>
        <v>2</v>
      </c>
      <c r="L7" s="23" t="str">
        <f>IF(SUMPRODUCT($J$21:K$21,$J7:K7)&lt;0.5, "Pending", IF(K7&lt;0.5, "Complete", "In Progress"))</f>
        <v>In Progress</v>
      </c>
      <c r="M7" s="22">
        <v>2</v>
      </c>
      <c r="N7" s="22">
        <f t="shared" si="18"/>
        <v>0</v>
      </c>
      <c r="O7" s="23" t="str">
        <f>IF(SUMPRODUCT($J$21:N$21,$J7:N7)&lt;0.5, "Pending", IF(N7&lt;0.5, "Complete", "In Progress"))</f>
        <v>Complete</v>
      </c>
      <c r="P7" s="22">
        <v>0</v>
      </c>
      <c r="Q7" s="22">
        <f t="shared" si="19"/>
        <v>0</v>
      </c>
      <c r="R7" s="23" t="str">
        <f>IF(SUMPRODUCT($J$21:Q$21,$J7:Q7)&lt;0.5, "Pending", IF(Q7&lt;0.5, "Complete", "In Progress"))</f>
        <v>Complete</v>
      </c>
      <c r="S7" s="22">
        <v>0</v>
      </c>
      <c r="T7" s="22">
        <f t="shared" si="20"/>
        <v>0</v>
      </c>
      <c r="U7" s="23" t="str">
        <f>IF(SUMPRODUCT($J$21:T$21,$J7:T7)&lt;0.5, "Pending", IF(T7&lt;0.5, "Complete", "In Progress"))</f>
        <v>Complete</v>
      </c>
      <c r="V7" s="22">
        <v>0</v>
      </c>
      <c r="W7" s="22">
        <f t="shared" si="21"/>
        <v>0</v>
      </c>
      <c r="X7" s="23" t="str">
        <f>IF(SUMPRODUCT($J$21:W$21,$J7:W7)&lt;0.5, "Pending", IF(W7&lt;0.5, "Complete", "In Progress"))</f>
        <v>Complete</v>
      </c>
      <c r="Y7" s="22">
        <v>0</v>
      </c>
      <c r="Z7" s="22">
        <f t="shared" si="22"/>
        <v>0</v>
      </c>
      <c r="AA7" s="23" t="str">
        <f>IF(SUMPRODUCT($J$21:Z$21,$J7:Z7)&lt;0.5, "Pending", IF(Z7&lt;0.5, "Complete", "In Progress"))</f>
        <v>Complete</v>
      </c>
      <c r="AB7" s="22">
        <v>0</v>
      </c>
      <c r="AC7" s="22">
        <f t="shared" si="23"/>
        <v>0</v>
      </c>
      <c r="AD7" s="23" t="str">
        <f>IF(SUMPRODUCT($J$21:AC$21,$J7:AC7)&lt;0.5, "Pending", IF(AC7&lt;0.5, "Complete", "In Progress"))</f>
        <v>Complete</v>
      </c>
      <c r="AE7" s="22">
        <v>0</v>
      </c>
      <c r="AF7" s="22" t="e">
        <f>MAX(#REF!-AE7,0)</f>
        <v>#REF!</v>
      </c>
      <c r="AG7" s="23" t="e">
        <f>IF(SUMPRODUCT($J$21:AF$21,$J7:AF7)&lt;0.5, "Pending", IF(AF7&lt;0.5, "Complete", "In Progress"))</f>
        <v>#REF!</v>
      </c>
      <c r="AH7" s="22">
        <v>0</v>
      </c>
      <c r="AI7" s="22" t="e">
        <f t="shared" si="24"/>
        <v>#REF!</v>
      </c>
      <c r="AJ7" s="23" t="e">
        <f>IF(SUMPRODUCT($J$21:AI$21,$J7:AI7)&lt;0.5, "Pending", IF(AI7&lt;0.5, "Complete", "In Progress"))</f>
        <v>#REF!</v>
      </c>
      <c r="AK7" s="22">
        <v>0</v>
      </c>
      <c r="AL7" s="22" t="e">
        <f t="shared" si="25"/>
        <v>#REF!</v>
      </c>
      <c r="AM7" s="23" t="e">
        <f>IF(SUMPRODUCT($J$21:AL$21,$J7:AL7)&lt;0.5, "Pending", IF(AL7&lt;0.5, "Complete", "In Progress"))</f>
        <v>#REF!</v>
      </c>
      <c r="AN7" s="22">
        <v>0</v>
      </c>
      <c r="AO7" s="22" t="e">
        <f t="shared" si="26"/>
        <v>#REF!</v>
      </c>
      <c r="AP7" s="23" t="e">
        <f>IF(SUMPRODUCT($J$21:AO$21,$J7:AO7)&lt;0.5, "Pending", IF(AO7&lt;0.5, "Complete", "In Progress"))</f>
        <v>#REF!</v>
      </c>
      <c r="AQ7" s="22">
        <v>0</v>
      </c>
      <c r="AR7" s="22" t="e">
        <f t="shared" si="27"/>
        <v>#REF!</v>
      </c>
      <c r="AS7" s="23" t="e">
        <f>IF(SUMPRODUCT($J$21:AR$21,$J7:AR7)&lt;0.5, "Pending", IF(AR7&lt;0.5, "Complete", "In Progress"))</f>
        <v>#REF!</v>
      </c>
      <c r="AT7" s="22">
        <v>0</v>
      </c>
      <c r="AU7" s="22" t="e">
        <f t="shared" si="28"/>
        <v>#REF!</v>
      </c>
      <c r="AV7" s="23" t="e">
        <f>IF(SUMPRODUCT($J$21:AU$21,$J7:AU7)&lt;0.5, "Pending", IF(AU7&lt;0.5, "Complete", "In Progress"))</f>
        <v>#REF!</v>
      </c>
      <c r="AW7" s="22">
        <v>0</v>
      </c>
      <c r="AX7" s="22" t="e">
        <f t="shared" si="29"/>
        <v>#REF!</v>
      </c>
      <c r="AY7" s="23" t="e">
        <f>IF(SUMPRODUCT($J$21:AX$21,$J7:AX7)&lt;0.5, "Pending", IF(AX7&lt;0.5, "Complete", "In Progress"))</f>
        <v>#REF!</v>
      </c>
      <c r="AZ7" s="22">
        <v>0</v>
      </c>
      <c r="BA7" s="22" t="e">
        <f t="shared" si="30"/>
        <v>#REF!</v>
      </c>
      <c r="BB7" s="23" t="e">
        <f>IF(SUMPRODUCT($J$21:BA$21,$J7:BA7)&lt;0.5, "Pending", IF(BA7&lt;0.5, "Complete", "In Progress"))</f>
        <v>#REF!</v>
      </c>
      <c r="BC7" s="22">
        <v>0</v>
      </c>
      <c r="BD7" s="22" t="e">
        <f t="shared" si="31"/>
        <v>#REF!</v>
      </c>
      <c r="BE7" s="23" t="e">
        <f>IF(SUMPRODUCT($J$21:BD$21,$J7:BD7)&lt;0.5, "Pending", IF(BD7&lt;0.5, "Complete", "In Progress"))</f>
        <v>#REF!</v>
      </c>
      <c r="BF7" s="22">
        <v>0</v>
      </c>
      <c r="BG7" s="22" t="e">
        <f t="shared" si="32"/>
        <v>#REF!</v>
      </c>
      <c r="BH7" s="23" t="e">
        <f>IF(SUMPRODUCT($J$21:BG$21,$J7:BG7)&lt;0.5, "Pending", IF(BG7&lt;0.5, "Complete", "In Progress"))</f>
        <v>#REF!</v>
      </c>
      <c r="BI7" s="24"/>
      <c r="BJ7" s="25">
        <f>SUMPRODUCT($H$21:AD$21,$H7:AD7)</f>
        <v>4</v>
      </c>
    </row>
    <row r="8" spans="1:62" x14ac:dyDescent="0.2">
      <c r="A8" s="16" t="s">
        <v>98</v>
      </c>
      <c r="B8" s="16" t="s">
        <v>115</v>
      </c>
      <c r="C8" s="16"/>
      <c r="D8" s="17">
        <v>6</v>
      </c>
      <c r="E8" s="178" t="s">
        <v>146</v>
      </c>
      <c r="F8" s="18" t="s">
        <v>136</v>
      </c>
      <c r="G8" s="19" t="str">
        <f t="shared" ca="1" si="0"/>
        <v>Complete</v>
      </c>
      <c r="H8" s="20">
        <v>1</v>
      </c>
      <c r="I8" s="21">
        <v>5</v>
      </c>
      <c r="J8" s="22">
        <v>2</v>
      </c>
      <c r="K8" s="22">
        <f t="shared" si="17"/>
        <v>3</v>
      </c>
      <c r="L8" s="23" t="str">
        <f>IF(SUMPRODUCT($J$21:K$21,$J8:K8)&lt;0.5, "Pending", IF(K8&lt;0.5, "Complete", "In Progress"))</f>
        <v>In Progress</v>
      </c>
      <c r="M8" s="22">
        <v>2</v>
      </c>
      <c r="N8" s="22">
        <f t="shared" si="18"/>
        <v>1</v>
      </c>
      <c r="O8" s="23" t="str">
        <f>IF(SUMPRODUCT($J$21:N$21,$J8:N8)&lt;0.5, "Pending", IF(N8&lt;0.5, "Complete", "In Progress"))</f>
        <v>In Progress</v>
      </c>
      <c r="P8" s="22">
        <v>1</v>
      </c>
      <c r="Q8" s="22">
        <f t="shared" si="19"/>
        <v>0</v>
      </c>
      <c r="R8" s="23" t="str">
        <f>IF(SUMPRODUCT($J$21:Q$21,$J8:Q8)&lt;0.5, "Pending", IF(Q8&lt;0.5, "Complete", "In Progress"))</f>
        <v>Complete</v>
      </c>
      <c r="S8" s="22">
        <v>0</v>
      </c>
      <c r="T8" s="22">
        <f t="shared" si="20"/>
        <v>0</v>
      </c>
      <c r="U8" s="23" t="str">
        <f>IF(SUMPRODUCT($J$21:T$21,$J8:T8)&lt;0.5, "Pending", IF(T8&lt;0.5, "Complete", "In Progress"))</f>
        <v>Complete</v>
      </c>
      <c r="V8" s="22">
        <v>0</v>
      </c>
      <c r="W8" s="22">
        <f t="shared" si="21"/>
        <v>0</v>
      </c>
      <c r="X8" s="23" t="str">
        <f>IF(SUMPRODUCT($J$21:W$21,$J8:W8)&lt;0.5, "Pending", IF(W8&lt;0.5, "Complete", "In Progress"))</f>
        <v>Complete</v>
      </c>
      <c r="Y8" s="22">
        <v>0</v>
      </c>
      <c r="Z8" s="22">
        <f t="shared" si="22"/>
        <v>0</v>
      </c>
      <c r="AA8" s="23" t="str">
        <f>IF(SUMPRODUCT($J$21:Z$21,$J8:Z8)&lt;0.5, "Pending", IF(Z8&lt;0.5, "Complete", "In Progress"))</f>
        <v>Complete</v>
      </c>
      <c r="AB8" s="22">
        <v>0</v>
      </c>
      <c r="AC8" s="22">
        <f t="shared" si="23"/>
        <v>0</v>
      </c>
      <c r="AD8" s="23" t="str">
        <f>IF(SUMPRODUCT($J$21:AC$21,$J8:AC8)&lt;0.5, "Pending", IF(AC8&lt;0.5, "Complete", "In Progress"))</f>
        <v>Complete</v>
      </c>
      <c r="AE8" s="22">
        <v>0</v>
      </c>
      <c r="AF8" s="22" t="e">
        <f>MAX(#REF!-AE8,0)</f>
        <v>#REF!</v>
      </c>
      <c r="AG8" s="23" t="e">
        <f>IF(SUMPRODUCT($J$21:AF$21,$J8:AF8)&lt;0.5, "Pending", IF(AF8&lt;0.5, "Complete", "In Progress"))</f>
        <v>#REF!</v>
      </c>
      <c r="AH8" s="22">
        <v>0</v>
      </c>
      <c r="AI8" s="22" t="e">
        <f t="shared" si="24"/>
        <v>#REF!</v>
      </c>
      <c r="AJ8" s="23" t="e">
        <f>IF(SUMPRODUCT($J$21:AI$21,$J8:AI8)&lt;0.5, "Pending", IF(AI8&lt;0.5, "Complete", "In Progress"))</f>
        <v>#REF!</v>
      </c>
      <c r="AK8" s="22">
        <v>0</v>
      </c>
      <c r="AL8" s="22" t="e">
        <f t="shared" si="25"/>
        <v>#REF!</v>
      </c>
      <c r="AM8" s="23" t="e">
        <f>IF(SUMPRODUCT($J$21:AL$21,$J8:AL8)&lt;0.5, "Pending", IF(AL8&lt;0.5, "Complete", "In Progress"))</f>
        <v>#REF!</v>
      </c>
      <c r="AN8" s="22">
        <v>0</v>
      </c>
      <c r="AO8" s="22" t="e">
        <f t="shared" si="26"/>
        <v>#REF!</v>
      </c>
      <c r="AP8" s="23" t="e">
        <f>IF(SUMPRODUCT($J$21:AO$21,$J8:AO8)&lt;0.5, "Pending", IF(AO8&lt;0.5, "Complete", "In Progress"))</f>
        <v>#REF!</v>
      </c>
      <c r="AQ8" s="22">
        <v>0</v>
      </c>
      <c r="AR8" s="22" t="e">
        <f t="shared" si="27"/>
        <v>#REF!</v>
      </c>
      <c r="AS8" s="23" t="e">
        <f>IF(SUMPRODUCT($J$21:AR$21,$J8:AR8)&lt;0.5, "Pending", IF(AR8&lt;0.5, "Complete", "In Progress"))</f>
        <v>#REF!</v>
      </c>
      <c r="AT8" s="22">
        <v>0</v>
      </c>
      <c r="AU8" s="22" t="e">
        <f t="shared" si="28"/>
        <v>#REF!</v>
      </c>
      <c r="AV8" s="23" t="e">
        <f>IF(SUMPRODUCT($J$21:AU$21,$J8:AU8)&lt;0.5, "Pending", IF(AU8&lt;0.5, "Complete", "In Progress"))</f>
        <v>#REF!</v>
      </c>
      <c r="AW8" s="22">
        <v>0</v>
      </c>
      <c r="AX8" s="22" t="e">
        <f t="shared" si="29"/>
        <v>#REF!</v>
      </c>
      <c r="AY8" s="23" t="e">
        <f>IF(SUMPRODUCT($J$21:AX$21,$J8:AX8)&lt;0.5, "Pending", IF(AX8&lt;0.5, "Complete", "In Progress"))</f>
        <v>#REF!</v>
      </c>
      <c r="AZ8" s="22">
        <v>0</v>
      </c>
      <c r="BA8" s="22" t="e">
        <f t="shared" si="30"/>
        <v>#REF!</v>
      </c>
      <c r="BB8" s="23" t="e">
        <f>IF(SUMPRODUCT($J$21:BA$21,$J8:BA8)&lt;0.5, "Pending", IF(BA8&lt;0.5, "Complete", "In Progress"))</f>
        <v>#REF!</v>
      </c>
      <c r="BC8" s="22">
        <v>0</v>
      </c>
      <c r="BD8" s="22" t="e">
        <f t="shared" si="31"/>
        <v>#REF!</v>
      </c>
      <c r="BE8" s="23" t="e">
        <f>IF(SUMPRODUCT($J$21:BD$21,$J8:BD8)&lt;0.5, "Pending", IF(BD8&lt;0.5, "Complete", "In Progress"))</f>
        <v>#REF!</v>
      </c>
      <c r="BF8" s="22">
        <v>0</v>
      </c>
      <c r="BG8" s="22" t="e">
        <f t="shared" si="32"/>
        <v>#REF!</v>
      </c>
      <c r="BH8" s="23" t="e">
        <f>IF(SUMPRODUCT($J$21:BG$21,$J8:BG8)&lt;0.5, "Pending", IF(BG8&lt;0.5, "Complete", "In Progress"))</f>
        <v>#REF!</v>
      </c>
      <c r="BI8" s="24"/>
      <c r="BJ8" s="25">
        <f>SUMPRODUCT($H$21:AD$21,$H8:AD8)</f>
        <v>5</v>
      </c>
    </row>
    <row r="9" spans="1:62" x14ac:dyDescent="0.2">
      <c r="A9" s="16" t="s">
        <v>98</v>
      </c>
      <c r="B9" s="16" t="s">
        <v>115</v>
      </c>
      <c r="C9" s="16"/>
      <c r="D9" s="17">
        <v>7</v>
      </c>
      <c r="E9" s="178" t="s">
        <v>146</v>
      </c>
      <c r="F9" s="18" t="s">
        <v>140</v>
      </c>
      <c r="G9" s="19" t="str">
        <f t="shared" ca="1" si="0"/>
        <v>Complete</v>
      </c>
      <c r="H9" s="20">
        <v>1</v>
      </c>
      <c r="I9" s="21">
        <v>5</v>
      </c>
      <c r="J9" s="22">
        <v>2</v>
      </c>
      <c r="K9" s="22">
        <f t="shared" ref="K9" si="33">MAX(I9-J9, 0)</f>
        <v>3</v>
      </c>
      <c r="L9" s="23" t="str">
        <f>IF(SUMPRODUCT($J$21:K$21,$J9:K9)&lt;0.5, "Pending", IF(K9&lt;0.5, "Complete", "In Progress"))</f>
        <v>In Progress</v>
      </c>
      <c r="M9" s="22">
        <v>2</v>
      </c>
      <c r="N9" s="22">
        <f t="shared" ref="N9" si="34">MAX(K9-M9,0)</f>
        <v>1</v>
      </c>
      <c r="O9" s="23" t="str">
        <f>IF(SUMPRODUCT($J$21:N$21,$J9:N9)&lt;0.5, "Pending", IF(N9&lt;0.5, "Complete", "In Progress"))</f>
        <v>In Progress</v>
      </c>
      <c r="P9" s="22">
        <v>1</v>
      </c>
      <c r="Q9" s="22">
        <f t="shared" ref="Q9" si="35">MAX(N9-P9,0)</f>
        <v>0</v>
      </c>
      <c r="R9" s="23" t="str">
        <f>IF(SUMPRODUCT($J$21:Q$21,$J9:Q9)&lt;0.5, "Pending", IF(Q9&lt;0.5, "Complete", "In Progress"))</f>
        <v>Complete</v>
      </c>
      <c r="S9" s="22">
        <v>0</v>
      </c>
      <c r="T9" s="22">
        <f t="shared" ref="T9" si="36">MAX(Q9-S9,0)</f>
        <v>0</v>
      </c>
      <c r="U9" s="23" t="str">
        <f>IF(SUMPRODUCT($J$21:T$21,$J9:T9)&lt;0.5, "Pending", IF(T9&lt;0.5, "Complete", "In Progress"))</f>
        <v>Complete</v>
      </c>
      <c r="V9" s="22">
        <v>0</v>
      </c>
      <c r="W9" s="22">
        <f t="shared" ref="W9" si="37">MAX(T9-V9,0)</f>
        <v>0</v>
      </c>
      <c r="X9" s="23" t="str">
        <f>IF(SUMPRODUCT($J$21:W$21,$J9:W9)&lt;0.5, "Pending", IF(W9&lt;0.5, "Complete", "In Progress"))</f>
        <v>Complete</v>
      </c>
      <c r="Y9" s="22">
        <v>0</v>
      </c>
      <c r="Z9" s="22">
        <f t="shared" ref="Z9" si="38">MAX(W9-Y9,0)</f>
        <v>0</v>
      </c>
      <c r="AA9" s="23" t="str">
        <f>IF(SUMPRODUCT($J$21:Z$21,$J9:Z9)&lt;0.5, "Pending", IF(Z9&lt;0.5, "Complete", "In Progress"))</f>
        <v>Complete</v>
      </c>
      <c r="AB9" s="22">
        <v>0</v>
      </c>
      <c r="AC9" s="22">
        <f t="shared" ref="AC9" si="39">MAX(Z9-AB9,0)</f>
        <v>0</v>
      </c>
      <c r="AD9" s="23" t="str">
        <f>IF(SUMPRODUCT($J$21:AC$21,$J9:AC9)&lt;0.5, "Pending", IF(AC9&lt;0.5, "Complete", "In Progress"))</f>
        <v>Complete</v>
      </c>
      <c r="AE9" s="22">
        <v>0</v>
      </c>
      <c r="AF9" s="22" t="e">
        <f>MAX(#REF!-AE9,0)</f>
        <v>#REF!</v>
      </c>
      <c r="AG9" s="23" t="e">
        <f>IF(SUMPRODUCT($J$21:AF$21,$J9:AF9)&lt;0.5, "Pending", IF(AF9&lt;0.5, "Complete", "In Progress"))</f>
        <v>#REF!</v>
      </c>
      <c r="AH9" s="22">
        <v>0</v>
      </c>
      <c r="AI9" s="22" t="e">
        <f t="shared" ref="AI9" si="40">MAX(AF9-AH9,0)</f>
        <v>#REF!</v>
      </c>
      <c r="AJ9" s="23" t="e">
        <f>IF(SUMPRODUCT($J$21:AI$21,$J9:AI9)&lt;0.5, "Pending", IF(AI9&lt;0.5, "Complete", "In Progress"))</f>
        <v>#REF!</v>
      </c>
      <c r="AK9" s="22">
        <v>0</v>
      </c>
      <c r="AL9" s="22" t="e">
        <f t="shared" ref="AL9" si="41">MAX(AI9-AK9,0)</f>
        <v>#REF!</v>
      </c>
      <c r="AM9" s="23" t="e">
        <f>IF(SUMPRODUCT($J$21:AL$21,$J9:AL9)&lt;0.5, "Pending", IF(AL9&lt;0.5, "Complete", "In Progress"))</f>
        <v>#REF!</v>
      </c>
      <c r="AN9" s="22">
        <v>0</v>
      </c>
      <c r="AO9" s="22" t="e">
        <f t="shared" ref="AO9" si="42">MAX(AL9-AN9,0)</f>
        <v>#REF!</v>
      </c>
      <c r="AP9" s="23" t="e">
        <f>IF(SUMPRODUCT($J$21:AO$21,$J9:AO9)&lt;0.5, "Pending", IF(AO9&lt;0.5, "Complete", "In Progress"))</f>
        <v>#REF!</v>
      </c>
      <c r="AQ9" s="22">
        <v>0</v>
      </c>
      <c r="AR9" s="22" t="e">
        <f t="shared" ref="AR9" si="43">MAX(AO9-AQ9,0)</f>
        <v>#REF!</v>
      </c>
      <c r="AS9" s="23" t="e">
        <f>IF(SUMPRODUCT($J$21:AR$21,$J9:AR9)&lt;0.5, "Pending", IF(AR9&lt;0.5, "Complete", "In Progress"))</f>
        <v>#REF!</v>
      </c>
      <c r="AT9" s="22">
        <v>0</v>
      </c>
      <c r="AU9" s="22" t="e">
        <f t="shared" ref="AU9" si="44">MAX(AR9-AT9,0)</f>
        <v>#REF!</v>
      </c>
      <c r="AV9" s="23" t="e">
        <f>IF(SUMPRODUCT($J$21:AU$21,$J9:AU9)&lt;0.5, "Pending", IF(AU9&lt;0.5, "Complete", "In Progress"))</f>
        <v>#REF!</v>
      </c>
      <c r="AW9" s="22">
        <v>0</v>
      </c>
      <c r="AX9" s="22" t="e">
        <f t="shared" ref="AX9" si="45">MAX(AU9-AW9,0)</f>
        <v>#REF!</v>
      </c>
      <c r="AY9" s="23" t="e">
        <f>IF(SUMPRODUCT($J$21:AX$21,$J9:AX9)&lt;0.5, "Pending", IF(AX9&lt;0.5, "Complete", "In Progress"))</f>
        <v>#REF!</v>
      </c>
      <c r="AZ9" s="22">
        <v>0</v>
      </c>
      <c r="BA9" s="22" t="e">
        <f t="shared" ref="BA9" si="46">MAX(AX9-AZ9,0)</f>
        <v>#REF!</v>
      </c>
      <c r="BB9" s="23" t="e">
        <f>IF(SUMPRODUCT($J$21:BA$21,$J9:BA9)&lt;0.5, "Pending", IF(BA9&lt;0.5, "Complete", "In Progress"))</f>
        <v>#REF!</v>
      </c>
      <c r="BC9" s="22">
        <v>0</v>
      </c>
      <c r="BD9" s="22" t="e">
        <f t="shared" ref="BD9" si="47">MAX(BA9-BC9,0)</f>
        <v>#REF!</v>
      </c>
      <c r="BE9" s="23" t="e">
        <f>IF(SUMPRODUCT($J$21:BD$21,$J9:BD9)&lt;0.5, "Pending", IF(BD9&lt;0.5, "Complete", "In Progress"))</f>
        <v>#REF!</v>
      </c>
      <c r="BF9" s="22">
        <v>0</v>
      </c>
      <c r="BG9" s="22" t="e">
        <f t="shared" ref="BG9" si="48">MAX(BD9-BF9,0)</f>
        <v>#REF!</v>
      </c>
      <c r="BH9" s="23" t="e">
        <f>IF(SUMPRODUCT($J$21:BG$21,$J9:BG9)&lt;0.5, "Pending", IF(BG9&lt;0.5, "Complete", "In Progress"))</f>
        <v>#REF!</v>
      </c>
      <c r="BI9" s="24"/>
      <c r="BJ9" s="25">
        <f>SUMPRODUCT($H$21:AD$21,$H9:AD9)</f>
        <v>5</v>
      </c>
    </row>
    <row r="10" spans="1:62" x14ac:dyDescent="0.2">
      <c r="A10" s="16" t="s">
        <v>98</v>
      </c>
      <c r="B10" s="16" t="s">
        <v>115</v>
      </c>
      <c r="C10" s="16"/>
      <c r="D10" s="17">
        <v>8</v>
      </c>
      <c r="E10" s="178" t="s">
        <v>141</v>
      </c>
      <c r="F10" s="18" t="s">
        <v>136</v>
      </c>
      <c r="G10" s="19" t="str">
        <f t="shared" ca="1" si="0"/>
        <v>Complete</v>
      </c>
      <c r="H10" s="20">
        <v>1</v>
      </c>
      <c r="I10" s="21">
        <v>5</v>
      </c>
      <c r="J10" s="22">
        <v>0</v>
      </c>
      <c r="K10" s="22">
        <f t="shared" si="17"/>
        <v>5</v>
      </c>
      <c r="L10" s="23" t="str">
        <f>IF(SUMPRODUCT($J$21:K$21,$J10:K10)&lt;0.5, "Pending", IF(K10&lt;0.5, "Complete", "In Progress"))</f>
        <v>Pending</v>
      </c>
      <c r="M10" s="22">
        <v>0</v>
      </c>
      <c r="N10" s="22">
        <f t="shared" si="18"/>
        <v>5</v>
      </c>
      <c r="O10" s="23" t="str">
        <f>IF(SUMPRODUCT($J$21:N$21,$J10:N10)&lt;0.5, "Pending", IF(N10&lt;0.5, "Complete", "In Progress"))</f>
        <v>Pending</v>
      </c>
      <c r="P10" s="22">
        <v>2</v>
      </c>
      <c r="Q10" s="22">
        <f t="shared" si="19"/>
        <v>3</v>
      </c>
      <c r="R10" s="23" t="str">
        <f>IF(SUMPRODUCT($J$21:Q$21,$J10:Q10)&lt;0.5, "Pending", IF(Q10&lt;0.5, "Complete", "In Progress"))</f>
        <v>In Progress</v>
      </c>
      <c r="S10" s="22">
        <v>1</v>
      </c>
      <c r="T10" s="22">
        <f t="shared" si="20"/>
        <v>2</v>
      </c>
      <c r="U10" s="23" t="str">
        <f>IF(SUMPRODUCT($J$21:T$21,$J10:T10)&lt;0.5, "Pending", IF(T10&lt;0.5, "Complete", "In Progress"))</f>
        <v>In Progress</v>
      </c>
      <c r="V10" s="22">
        <v>2</v>
      </c>
      <c r="W10" s="22">
        <f t="shared" si="21"/>
        <v>0</v>
      </c>
      <c r="X10" s="23" t="str">
        <f>IF(SUMPRODUCT($J$21:W$21,$J10:W10)&lt;0.5, "Pending", IF(W10&lt;0.5, "Complete", "In Progress"))</f>
        <v>Complete</v>
      </c>
      <c r="Y10" s="22">
        <v>0</v>
      </c>
      <c r="Z10" s="22">
        <f t="shared" si="22"/>
        <v>0</v>
      </c>
      <c r="AA10" s="23" t="str">
        <f>IF(SUMPRODUCT($J$21:Z$21,$J10:Z10)&lt;0.5, "Pending", IF(Z10&lt;0.5, "Complete", "In Progress"))</f>
        <v>Complete</v>
      </c>
      <c r="AB10" s="22">
        <v>0</v>
      </c>
      <c r="AC10" s="22">
        <f t="shared" si="23"/>
        <v>0</v>
      </c>
      <c r="AD10" s="23" t="str">
        <f>IF(SUMPRODUCT($J$21:AC$21,$J10:AC10)&lt;0.5, "Pending", IF(AC10&lt;0.5, "Complete", "In Progress"))</f>
        <v>Complete</v>
      </c>
      <c r="AE10" s="22">
        <v>0</v>
      </c>
      <c r="AF10" s="22" t="e">
        <f>MAX(#REF!-AE10,0)</f>
        <v>#REF!</v>
      </c>
      <c r="AG10" s="23" t="e">
        <f>IF(SUMPRODUCT($J$21:AF$21,$J10:AF10)&lt;0.5, "Pending", IF(AF10&lt;0.5, "Complete", "In Progress"))</f>
        <v>#REF!</v>
      </c>
      <c r="AH10" s="22">
        <v>0</v>
      </c>
      <c r="AI10" s="22" t="e">
        <f t="shared" si="24"/>
        <v>#REF!</v>
      </c>
      <c r="AJ10" s="23" t="e">
        <f>IF(SUMPRODUCT($J$21:AI$21,$J10:AI10)&lt;0.5, "Pending", IF(AI10&lt;0.5, "Complete", "In Progress"))</f>
        <v>#REF!</v>
      </c>
      <c r="AK10" s="22">
        <v>0</v>
      </c>
      <c r="AL10" s="22" t="e">
        <f t="shared" si="25"/>
        <v>#REF!</v>
      </c>
      <c r="AM10" s="23" t="e">
        <f>IF(SUMPRODUCT($J$21:AL$21,$J10:AL10)&lt;0.5, "Pending", IF(AL10&lt;0.5, "Complete", "In Progress"))</f>
        <v>#REF!</v>
      </c>
      <c r="AN10" s="22">
        <v>0</v>
      </c>
      <c r="AO10" s="22" t="e">
        <f t="shared" si="26"/>
        <v>#REF!</v>
      </c>
      <c r="AP10" s="23" t="e">
        <f>IF(SUMPRODUCT($J$21:AO$21,$J10:AO10)&lt;0.5, "Pending", IF(AO10&lt;0.5, "Complete", "In Progress"))</f>
        <v>#REF!</v>
      </c>
      <c r="AQ10" s="22">
        <v>0</v>
      </c>
      <c r="AR10" s="22" t="e">
        <f t="shared" si="27"/>
        <v>#REF!</v>
      </c>
      <c r="AS10" s="23" t="e">
        <f>IF(SUMPRODUCT($J$21:AR$21,$J10:AR10)&lt;0.5, "Pending", IF(AR10&lt;0.5, "Complete", "In Progress"))</f>
        <v>#REF!</v>
      </c>
      <c r="AT10" s="22">
        <v>0</v>
      </c>
      <c r="AU10" s="22" t="e">
        <f t="shared" si="28"/>
        <v>#REF!</v>
      </c>
      <c r="AV10" s="23" t="e">
        <f>IF(SUMPRODUCT($J$21:AU$21,$J10:AU10)&lt;0.5, "Pending", IF(AU10&lt;0.5, "Complete", "In Progress"))</f>
        <v>#REF!</v>
      </c>
      <c r="AW10" s="22">
        <v>0</v>
      </c>
      <c r="AX10" s="22" t="e">
        <f t="shared" si="29"/>
        <v>#REF!</v>
      </c>
      <c r="AY10" s="23" t="e">
        <f>IF(SUMPRODUCT($J$21:AX$21,$J10:AX10)&lt;0.5, "Pending", IF(AX10&lt;0.5, "Complete", "In Progress"))</f>
        <v>#REF!</v>
      </c>
      <c r="AZ10" s="22">
        <v>0</v>
      </c>
      <c r="BA10" s="22" t="e">
        <f t="shared" si="30"/>
        <v>#REF!</v>
      </c>
      <c r="BB10" s="23" t="e">
        <f>IF(SUMPRODUCT($J$21:BA$21,$J10:BA10)&lt;0.5, "Pending", IF(BA10&lt;0.5, "Complete", "In Progress"))</f>
        <v>#REF!</v>
      </c>
      <c r="BC10" s="22">
        <v>0</v>
      </c>
      <c r="BD10" s="22" t="e">
        <f t="shared" si="31"/>
        <v>#REF!</v>
      </c>
      <c r="BE10" s="23" t="e">
        <f>IF(SUMPRODUCT($J$21:BD$21,$J10:BD10)&lt;0.5, "Pending", IF(BD10&lt;0.5, "Complete", "In Progress"))</f>
        <v>#REF!</v>
      </c>
      <c r="BF10" s="22">
        <v>0</v>
      </c>
      <c r="BG10" s="22" t="e">
        <f t="shared" si="32"/>
        <v>#REF!</v>
      </c>
      <c r="BH10" s="23" t="e">
        <f>IF(SUMPRODUCT($J$21:BG$21,$J10:BG10)&lt;0.5, "Pending", IF(BG10&lt;0.5, "Complete", "In Progress"))</f>
        <v>#REF!</v>
      </c>
      <c r="BI10" s="24"/>
      <c r="BJ10" s="25">
        <f>SUMPRODUCT($H$21:AD$21,$H10:AD10)</f>
        <v>5</v>
      </c>
    </row>
    <row r="11" spans="1:62" x14ac:dyDescent="0.2">
      <c r="A11" s="16" t="s">
        <v>98</v>
      </c>
      <c r="B11" s="16" t="s">
        <v>115</v>
      </c>
      <c r="C11" s="16"/>
      <c r="D11" s="17">
        <v>9</v>
      </c>
      <c r="E11" s="178" t="s">
        <v>126</v>
      </c>
      <c r="F11" s="18" t="s">
        <v>140</v>
      </c>
      <c r="G11" s="19" t="str">
        <f t="shared" ca="1" si="0"/>
        <v>Complete</v>
      </c>
      <c r="H11" s="20">
        <v>1</v>
      </c>
      <c r="I11" s="21">
        <v>5</v>
      </c>
      <c r="J11" s="22">
        <v>0</v>
      </c>
      <c r="K11" s="22">
        <f t="shared" si="17"/>
        <v>5</v>
      </c>
      <c r="L11" s="23" t="str">
        <f>IF(SUMPRODUCT($J$21:K$21,$J11:K11)&lt;0.5, "Pending", IF(K11&lt;0.5, "Complete", "In Progress"))</f>
        <v>Pending</v>
      </c>
      <c r="M11" s="22">
        <v>0</v>
      </c>
      <c r="N11" s="22">
        <f t="shared" si="18"/>
        <v>5</v>
      </c>
      <c r="O11" s="23" t="str">
        <f>IF(SUMPRODUCT($J$21:N$21,$J11:N11)&lt;0.5, "Pending", IF(N11&lt;0.5, "Complete", "In Progress"))</f>
        <v>Pending</v>
      </c>
      <c r="P11" s="22">
        <v>2</v>
      </c>
      <c r="Q11" s="22">
        <f t="shared" si="19"/>
        <v>3</v>
      </c>
      <c r="R11" s="23" t="str">
        <f>IF(SUMPRODUCT($J$21:Q$21,$J11:Q11)&lt;0.5, "Pending", IF(Q11&lt;0.5, "Complete", "In Progress"))</f>
        <v>In Progress</v>
      </c>
      <c r="S11" s="22">
        <v>2</v>
      </c>
      <c r="T11" s="22">
        <f t="shared" si="20"/>
        <v>1</v>
      </c>
      <c r="U11" s="23" t="str">
        <f>IF(SUMPRODUCT($J$21:T$21,$J11:T11)&lt;0.5, "Pending", IF(T11&lt;0.5, "Complete", "In Progress"))</f>
        <v>In Progress</v>
      </c>
      <c r="V11" s="22">
        <v>1</v>
      </c>
      <c r="W11" s="22">
        <f t="shared" si="21"/>
        <v>0</v>
      </c>
      <c r="X11" s="23" t="str">
        <f>IF(SUMPRODUCT($J$21:W$21,$J11:W11)&lt;0.5, "Pending", IF(W11&lt;0.5, "Complete", "In Progress"))</f>
        <v>Complete</v>
      </c>
      <c r="Y11" s="22">
        <v>0</v>
      </c>
      <c r="Z11" s="22">
        <f t="shared" si="22"/>
        <v>0</v>
      </c>
      <c r="AA11" s="23" t="str">
        <f>IF(SUMPRODUCT($J$21:Z$21,$J11:Z11)&lt;0.5, "Pending", IF(Z11&lt;0.5, "Complete", "In Progress"))</f>
        <v>Complete</v>
      </c>
      <c r="AB11" s="22">
        <v>0</v>
      </c>
      <c r="AC11" s="22">
        <f t="shared" si="23"/>
        <v>0</v>
      </c>
      <c r="AD11" s="23" t="str">
        <f>IF(SUMPRODUCT($J$21:AC$21,$J11:AC11)&lt;0.5, "Pending", IF(AC11&lt;0.5, "Complete", "In Progress"))</f>
        <v>Complete</v>
      </c>
      <c r="AE11" s="22">
        <v>0</v>
      </c>
      <c r="AF11" s="22" t="e">
        <f>MAX(#REF!-AE11,0)</f>
        <v>#REF!</v>
      </c>
      <c r="AG11" s="23" t="e">
        <f>IF(SUMPRODUCT($J$21:AF$21,$J11:AF11)&lt;0.5, "Pending", IF(AF11&lt;0.5, "Complete", "In Progress"))</f>
        <v>#REF!</v>
      </c>
      <c r="AH11" s="22">
        <v>0</v>
      </c>
      <c r="AI11" s="22" t="e">
        <f t="shared" si="24"/>
        <v>#REF!</v>
      </c>
      <c r="AJ11" s="23" t="e">
        <f>IF(SUMPRODUCT($J$21:AI$21,$J11:AI11)&lt;0.5, "Pending", IF(AI11&lt;0.5, "Complete", "In Progress"))</f>
        <v>#REF!</v>
      </c>
      <c r="AK11" s="22">
        <v>0</v>
      </c>
      <c r="AL11" s="22" t="e">
        <f t="shared" si="25"/>
        <v>#REF!</v>
      </c>
      <c r="AM11" s="23" t="e">
        <f>IF(SUMPRODUCT($J$21:AL$21,$J11:AL11)&lt;0.5, "Pending", IF(AL11&lt;0.5, "Complete", "In Progress"))</f>
        <v>#REF!</v>
      </c>
      <c r="AN11" s="22">
        <v>0</v>
      </c>
      <c r="AO11" s="22" t="e">
        <f t="shared" si="26"/>
        <v>#REF!</v>
      </c>
      <c r="AP11" s="23" t="e">
        <f>IF(SUMPRODUCT($J$21:AO$21,$J11:AO11)&lt;0.5, "Pending", IF(AO11&lt;0.5, "Complete", "In Progress"))</f>
        <v>#REF!</v>
      </c>
      <c r="AQ11" s="22">
        <v>0</v>
      </c>
      <c r="AR11" s="22" t="e">
        <f t="shared" si="27"/>
        <v>#REF!</v>
      </c>
      <c r="AS11" s="23" t="e">
        <f>IF(SUMPRODUCT($J$21:AR$21,$J11:AR11)&lt;0.5, "Pending", IF(AR11&lt;0.5, "Complete", "In Progress"))</f>
        <v>#REF!</v>
      </c>
      <c r="AT11" s="22">
        <v>0</v>
      </c>
      <c r="AU11" s="22" t="e">
        <f t="shared" si="28"/>
        <v>#REF!</v>
      </c>
      <c r="AV11" s="23" t="e">
        <f>IF(SUMPRODUCT($J$21:AU$21,$J11:AU11)&lt;0.5, "Pending", IF(AU11&lt;0.5, "Complete", "In Progress"))</f>
        <v>#REF!</v>
      </c>
      <c r="AW11" s="22">
        <v>0</v>
      </c>
      <c r="AX11" s="22" t="e">
        <f t="shared" si="29"/>
        <v>#REF!</v>
      </c>
      <c r="AY11" s="23" t="e">
        <f>IF(SUMPRODUCT($J$21:AX$21,$J11:AX11)&lt;0.5, "Pending", IF(AX11&lt;0.5, "Complete", "In Progress"))</f>
        <v>#REF!</v>
      </c>
      <c r="AZ11" s="22">
        <v>0</v>
      </c>
      <c r="BA11" s="22" t="e">
        <f t="shared" si="30"/>
        <v>#REF!</v>
      </c>
      <c r="BB11" s="23" t="e">
        <f>IF(SUMPRODUCT($J$21:BA$21,$J11:BA11)&lt;0.5, "Pending", IF(BA11&lt;0.5, "Complete", "In Progress"))</f>
        <v>#REF!</v>
      </c>
      <c r="BC11" s="22">
        <v>0</v>
      </c>
      <c r="BD11" s="22" t="e">
        <f t="shared" si="31"/>
        <v>#REF!</v>
      </c>
      <c r="BE11" s="23" t="e">
        <f>IF(SUMPRODUCT($J$21:BD$21,$J11:BD11)&lt;0.5, "Pending", IF(BD11&lt;0.5, "Complete", "In Progress"))</f>
        <v>#REF!</v>
      </c>
      <c r="BF11" s="22">
        <v>0</v>
      </c>
      <c r="BG11" s="22" t="e">
        <f t="shared" si="32"/>
        <v>#REF!</v>
      </c>
      <c r="BH11" s="23" t="e">
        <f>IF(SUMPRODUCT($J$21:BG$21,$J11:BG11)&lt;0.5, "Pending", IF(BG11&lt;0.5, "Complete", "In Progress"))</f>
        <v>#REF!</v>
      </c>
      <c r="BI11" s="24"/>
      <c r="BJ11" s="25">
        <f>SUMPRODUCT($H$21:AD$21,$H11:AD11)</f>
        <v>5</v>
      </c>
    </row>
    <row r="12" spans="1:62" x14ac:dyDescent="0.2">
      <c r="A12" s="16" t="s">
        <v>98</v>
      </c>
      <c r="B12" s="16" t="s">
        <v>115</v>
      </c>
      <c r="C12" s="16"/>
      <c r="D12" s="17">
        <v>10</v>
      </c>
      <c r="E12" s="178" t="s">
        <v>147</v>
      </c>
      <c r="F12" s="18" t="s">
        <v>132</v>
      </c>
      <c r="G12" s="19" t="str">
        <f t="shared" ca="1" si="0"/>
        <v>Complete</v>
      </c>
      <c r="H12" s="20">
        <v>1</v>
      </c>
      <c r="I12" s="21">
        <v>5</v>
      </c>
      <c r="J12" s="22">
        <v>0</v>
      </c>
      <c r="K12" s="22">
        <f t="shared" si="17"/>
        <v>5</v>
      </c>
      <c r="L12" s="23" t="str">
        <f>IF(SUMPRODUCT($J$21:K$21,$J12:K12)&lt;0.5, "Pending", IF(K12&lt;0.5, "Complete", "In Progress"))</f>
        <v>Pending</v>
      </c>
      <c r="M12" s="22">
        <v>0</v>
      </c>
      <c r="N12" s="22">
        <f t="shared" si="18"/>
        <v>5</v>
      </c>
      <c r="O12" s="23" t="str">
        <f>IF(SUMPRODUCT($J$21:N$21,$J12:N12)&lt;0.5, "Pending", IF(N12&lt;0.5, "Complete", "In Progress"))</f>
        <v>Pending</v>
      </c>
      <c r="P12" s="22">
        <v>2</v>
      </c>
      <c r="Q12" s="22">
        <f t="shared" si="19"/>
        <v>3</v>
      </c>
      <c r="R12" s="23" t="str">
        <f>IF(SUMPRODUCT($J$21:Q$21,$J12:Q12)&lt;0.5, "Pending", IF(Q12&lt;0.5, "Complete", "In Progress"))</f>
        <v>In Progress</v>
      </c>
      <c r="S12" s="22">
        <v>2</v>
      </c>
      <c r="T12" s="22">
        <f t="shared" si="20"/>
        <v>1</v>
      </c>
      <c r="U12" s="23" t="str">
        <f>IF(SUMPRODUCT($J$21:T$21,$J12:T12)&lt;0.5, "Pending", IF(T12&lt;0.5, "Complete", "In Progress"))</f>
        <v>In Progress</v>
      </c>
      <c r="V12" s="22">
        <v>1</v>
      </c>
      <c r="W12" s="22">
        <f t="shared" si="21"/>
        <v>0</v>
      </c>
      <c r="X12" s="23" t="str">
        <f>IF(SUMPRODUCT($J$21:W$21,$J12:W12)&lt;0.5, "Pending", IF(W12&lt;0.5, "Complete", "In Progress"))</f>
        <v>Complete</v>
      </c>
      <c r="Y12" s="22">
        <v>0</v>
      </c>
      <c r="Z12" s="22">
        <f t="shared" si="22"/>
        <v>0</v>
      </c>
      <c r="AA12" s="23" t="str">
        <f>IF(SUMPRODUCT($J$21:Z$21,$J12:Z12)&lt;0.5, "Pending", IF(Z12&lt;0.5, "Complete", "In Progress"))</f>
        <v>Complete</v>
      </c>
      <c r="AB12" s="22">
        <v>0</v>
      </c>
      <c r="AC12" s="22">
        <f t="shared" si="23"/>
        <v>0</v>
      </c>
      <c r="AD12" s="23" t="str">
        <f>IF(SUMPRODUCT($J$21:AC$21,$J12:AC12)&lt;0.5, "Pending", IF(AC12&lt;0.5, "Complete", "In Progress"))</f>
        <v>Complete</v>
      </c>
      <c r="AE12" s="22">
        <v>0</v>
      </c>
      <c r="AF12" s="22" t="e">
        <f>MAX(#REF!-AE12,0)</f>
        <v>#REF!</v>
      </c>
      <c r="AG12" s="23" t="e">
        <f>IF(SUMPRODUCT($J$21:AF$21,$J12:AF12)&lt;0.5, "Pending", IF(AF12&lt;0.5, "Complete", "In Progress"))</f>
        <v>#REF!</v>
      </c>
      <c r="AH12" s="22">
        <v>0</v>
      </c>
      <c r="AI12" s="22" t="e">
        <f t="shared" si="24"/>
        <v>#REF!</v>
      </c>
      <c r="AJ12" s="23" t="e">
        <f>IF(SUMPRODUCT($J$21:AI$21,$J12:AI12)&lt;0.5, "Pending", IF(AI12&lt;0.5, "Complete", "In Progress"))</f>
        <v>#REF!</v>
      </c>
      <c r="AK12" s="22">
        <v>0</v>
      </c>
      <c r="AL12" s="22" t="e">
        <f t="shared" si="25"/>
        <v>#REF!</v>
      </c>
      <c r="AM12" s="23" t="e">
        <f>IF(SUMPRODUCT($J$21:AL$21,$J12:AL12)&lt;0.5, "Pending", IF(AL12&lt;0.5, "Complete", "In Progress"))</f>
        <v>#REF!</v>
      </c>
      <c r="AN12" s="22">
        <v>0</v>
      </c>
      <c r="AO12" s="22" t="e">
        <f t="shared" si="26"/>
        <v>#REF!</v>
      </c>
      <c r="AP12" s="23" t="e">
        <f>IF(SUMPRODUCT($J$21:AO$21,$J12:AO12)&lt;0.5, "Pending", IF(AO12&lt;0.5, "Complete", "In Progress"))</f>
        <v>#REF!</v>
      </c>
      <c r="AQ12" s="22">
        <v>0</v>
      </c>
      <c r="AR12" s="22" t="e">
        <f t="shared" si="27"/>
        <v>#REF!</v>
      </c>
      <c r="AS12" s="23" t="e">
        <f>IF(SUMPRODUCT($J$21:AR$21,$J12:AR12)&lt;0.5, "Pending", IF(AR12&lt;0.5, "Complete", "In Progress"))</f>
        <v>#REF!</v>
      </c>
      <c r="AT12" s="22">
        <v>0</v>
      </c>
      <c r="AU12" s="22" t="e">
        <f t="shared" si="28"/>
        <v>#REF!</v>
      </c>
      <c r="AV12" s="23" t="e">
        <f>IF(SUMPRODUCT($J$21:AU$21,$J12:AU12)&lt;0.5, "Pending", IF(AU12&lt;0.5, "Complete", "In Progress"))</f>
        <v>#REF!</v>
      </c>
      <c r="AW12" s="22">
        <v>0</v>
      </c>
      <c r="AX12" s="22" t="e">
        <f t="shared" si="29"/>
        <v>#REF!</v>
      </c>
      <c r="AY12" s="23" t="e">
        <f>IF(SUMPRODUCT($J$21:AX$21,$J12:AX12)&lt;0.5, "Pending", IF(AX12&lt;0.5, "Complete", "In Progress"))</f>
        <v>#REF!</v>
      </c>
      <c r="AZ12" s="22">
        <v>0</v>
      </c>
      <c r="BA12" s="22" t="e">
        <f t="shared" si="30"/>
        <v>#REF!</v>
      </c>
      <c r="BB12" s="23" t="e">
        <f>IF(SUMPRODUCT($J$21:BA$21,$J12:BA12)&lt;0.5, "Pending", IF(BA12&lt;0.5, "Complete", "In Progress"))</f>
        <v>#REF!</v>
      </c>
      <c r="BC12" s="22">
        <v>0</v>
      </c>
      <c r="BD12" s="22" t="e">
        <f t="shared" si="31"/>
        <v>#REF!</v>
      </c>
      <c r="BE12" s="23" t="e">
        <f>IF(SUMPRODUCT($J$21:BD$21,$J12:BD12)&lt;0.5, "Pending", IF(BD12&lt;0.5, "Complete", "In Progress"))</f>
        <v>#REF!</v>
      </c>
      <c r="BF12" s="22">
        <v>0</v>
      </c>
      <c r="BG12" s="22" t="e">
        <f t="shared" si="32"/>
        <v>#REF!</v>
      </c>
      <c r="BH12" s="23" t="e">
        <f>IF(SUMPRODUCT($J$21:BG$21,$J12:BG12)&lt;0.5, "Pending", IF(BG12&lt;0.5, "Complete", "In Progress"))</f>
        <v>#REF!</v>
      </c>
      <c r="BI12" s="24"/>
      <c r="BJ12" s="25">
        <f>SUMPRODUCT($H$21:AD$21,$H12:AD12)</f>
        <v>5</v>
      </c>
    </row>
    <row r="13" spans="1:62" x14ac:dyDescent="0.2">
      <c r="A13" s="16" t="s">
        <v>101</v>
      </c>
      <c r="B13" s="16" t="s">
        <v>117</v>
      </c>
      <c r="C13" s="16"/>
      <c r="D13" s="17">
        <v>11</v>
      </c>
      <c r="E13" s="178" t="s">
        <v>148</v>
      </c>
      <c r="F13" s="18" t="s">
        <v>130</v>
      </c>
      <c r="G13" s="19" t="str">
        <f t="shared" ca="1" si="0"/>
        <v>Complete</v>
      </c>
      <c r="H13" s="20">
        <v>1</v>
      </c>
      <c r="I13" s="21">
        <v>5</v>
      </c>
      <c r="J13" s="22">
        <v>0</v>
      </c>
      <c r="K13" s="22">
        <f t="shared" si="17"/>
        <v>5</v>
      </c>
      <c r="L13" s="23" t="str">
        <f>IF(SUMPRODUCT($J$21:K$21,$J13:K13)&lt;0.5, "Pending", IF(K13&lt;0.5, "Complete", "In Progress"))</f>
        <v>Pending</v>
      </c>
      <c r="M13" s="22">
        <v>0</v>
      </c>
      <c r="N13" s="22">
        <f t="shared" si="18"/>
        <v>5</v>
      </c>
      <c r="O13" s="23" t="str">
        <f>IF(SUMPRODUCT($J$21:N$21,$J13:N13)&lt;0.5, "Pending", IF(N13&lt;0.5, "Complete", "In Progress"))</f>
        <v>Pending</v>
      </c>
      <c r="P13" s="22">
        <v>0</v>
      </c>
      <c r="Q13" s="22">
        <f t="shared" si="19"/>
        <v>5</v>
      </c>
      <c r="R13" s="23" t="str">
        <f>IF(SUMPRODUCT($J$21:Q$21,$J13:Q13)&lt;0.5, "Pending", IF(Q13&lt;0.5, "Complete", "In Progress"))</f>
        <v>Pending</v>
      </c>
      <c r="S13" s="22">
        <v>2</v>
      </c>
      <c r="T13" s="22">
        <f t="shared" si="20"/>
        <v>3</v>
      </c>
      <c r="U13" s="23" t="str">
        <f>IF(SUMPRODUCT($J$21:T$21,$J13:T13)&lt;0.5, "Pending", IF(T13&lt;0.5, "Complete", "In Progress"))</f>
        <v>In Progress</v>
      </c>
      <c r="V13" s="22">
        <v>3</v>
      </c>
      <c r="W13" s="22">
        <f t="shared" si="21"/>
        <v>0</v>
      </c>
      <c r="X13" s="23" t="str">
        <f>IF(SUMPRODUCT($J$21:W$21,$J13:W13)&lt;0.5, "Pending", IF(W13&lt;0.5, "Complete", "In Progress"))</f>
        <v>Complete</v>
      </c>
      <c r="Y13" s="22">
        <v>0</v>
      </c>
      <c r="Z13" s="22">
        <f t="shared" si="22"/>
        <v>0</v>
      </c>
      <c r="AA13" s="23" t="str">
        <f>IF(SUMPRODUCT($J$21:Z$21,$J13:Z13)&lt;0.5, "Pending", IF(Z13&lt;0.5, "Complete", "In Progress"))</f>
        <v>Complete</v>
      </c>
      <c r="AB13" s="22">
        <v>0</v>
      </c>
      <c r="AC13" s="22">
        <f t="shared" si="23"/>
        <v>0</v>
      </c>
      <c r="AD13" s="23" t="str">
        <f>IF(SUMPRODUCT($J$21:AC$21,$J13:AC13)&lt;0.5, "Pending", IF(AC13&lt;0.5, "Complete", "In Progress"))</f>
        <v>Complete</v>
      </c>
      <c r="AE13" s="22">
        <v>0</v>
      </c>
      <c r="AF13" s="22" t="e">
        <f>MAX(#REF!-AE13,0)</f>
        <v>#REF!</v>
      </c>
      <c r="AG13" s="23" t="e">
        <f>IF(SUMPRODUCT($J$21:AF$21,$J13:AF13)&lt;0.5, "Pending", IF(AF13&lt;0.5, "Complete", "In Progress"))</f>
        <v>#REF!</v>
      </c>
      <c r="AH13" s="22">
        <v>0</v>
      </c>
      <c r="AI13" s="22" t="e">
        <f t="shared" si="24"/>
        <v>#REF!</v>
      </c>
      <c r="AJ13" s="23" t="e">
        <f>IF(SUMPRODUCT($J$21:AI$21,$J13:AI13)&lt;0.5, "Pending", IF(AI13&lt;0.5, "Complete", "In Progress"))</f>
        <v>#REF!</v>
      </c>
      <c r="AK13" s="22">
        <v>0</v>
      </c>
      <c r="AL13" s="22" t="e">
        <f t="shared" si="25"/>
        <v>#REF!</v>
      </c>
      <c r="AM13" s="23" t="e">
        <f>IF(SUMPRODUCT($J$21:AL$21,$J13:AL13)&lt;0.5, "Pending", IF(AL13&lt;0.5, "Complete", "In Progress"))</f>
        <v>#REF!</v>
      </c>
      <c r="AN13" s="22">
        <v>0</v>
      </c>
      <c r="AO13" s="22" t="e">
        <f t="shared" si="26"/>
        <v>#REF!</v>
      </c>
      <c r="AP13" s="23" t="e">
        <f>IF(SUMPRODUCT($J$21:AO$21,$J13:AO13)&lt;0.5, "Pending", IF(AO13&lt;0.5, "Complete", "In Progress"))</f>
        <v>#REF!</v>
      </c>
      <c r="AQ13" s="22">
        <v>0</v>
      </c>
      <c r="AR13" s="22" t="e">
        <f t="shared" si="27"/>
        <v>#REF!</v>
      </c>
      <c r="AS13" s="23" t="e">
        <f>IF(SUMPRODUCT($J$21:AR$21,$J13:AR13)&lt;0.5, "Pending", IF(AR13&lt;0.5, "Complete", "In Progress"))</f>
        <v>#REF!</v>
      </c>
      <c r="AT13" s="22">
        <v>0</v>
      </c>
      <c r="AU13" s="22" t="e">
        <f t="shared" si="28"/>
        <v>#REF!</v>
      </c>
      <c r="AV13" s="23" t="e">
        <f>IF(SUMPRODUCT($J$21:AU$21,$J13:AU13)&lt;0.5, "Pending", IF(AU13&lt;0.5, "Complete", "In Progress"))</f>
        <v>#REF!</v>
      </c>
      <c r="AW13" s="22">
        <v>0</v>
      </c>
      <c r="AX13" s="22" t="e">
        <f t="shared" si="29"/>
        <v>#REF!</v>
      </c>
      <c r="AY13" s="23" t="e">
        <f>IF(SUMPRODUCT($J$21:AX$21,$J13:AX13)&lt;0.5, "Pending", IF(AX13&lt;0.5, "Complete", "In Progress"))</f>
        <v>#REF!</v>
      </c>
      <c r="AZ13" s="22">
        <v>0</v>
      </c>
      <c r="BA13" s="22" t="e">
        <f t="shared" si="30"/>
        <v>#REF!</v>
      </c>
      <c r="BB13" s="23" t="e">
        <f>IF(SUMPRODUCT($J$21:BA$21,$J13:BA13)&lt;0.5, "Pending", IF(BA13&lt;0.5, "Complete", "In Progress"))</f>
        <v>#REF!</v>
      </c>
      <c r="BC13" s="22">
        <v>0</v>
      </c>
      <c r="BD13" s="22" t="e">
        <f t="shared" si="31"/>
        <v>#REF!</v>
      </c>
      <c r="BE13" s="23" t="e">
        <f>IF(SUMPRODUCT($J$21:BD$21,$J13:BD13)&lt;0.5, "Pending", IF(BD13&lt;0.5, "Complete", "In Progress"))</f>
        <v>#REF!</v>
      </c>
      <c r="BF13" s="22">
        <v>0</v>
      </c>
      <c r="BG13" s="22" t="e">
        <f t="shared" si="32"/>
        <v>#REF!</v>
      </c>
      <c r="BH13" s="23" t="e">
        <f>IF(SUMPRODUCT($J$21:BG$21,$J13:BG13)&lt;0.5, "Pending", IF(BG13&lt;0.5, "Complete", "In Progress"))</f>
        <v>#REF!</v>
      </c>
      <c r="BI13" s="24"/>
      <c r="BJ13" s="25">
        <f>SUMPRODUCT($H$21:AD$21,$H13:AD13)</f>
        <v>5</v>
      </c>
    </row>
    <row r="14" spans="1:62" x14ac:dyDescent="0.2">
      <c r="A14" s="16" t="s">
        <v>101</v>
      </c>
      <c r="B14" s="16" t="s">
        <v>117</v>
      </c>
      <c r="C14" s="16"/>
      <c r="D14" s="17">
        <v>12</v>
      </c>
      <c r="E14" s="178" t="s">
        <v>149</v>
      </c>
      <c r="F14" s="18" t="s">
        <v>127</v>
      </c>
      <c r="G14" s="19" t="str">
        <f t="shared" ca="1" si="0"/>
        <v>Complete</v>
      </c>
      <c r="H14" s="20">
        <v>1</v>
      </c>
      <c r="I14" s="21">
        <v>5</v>
      </c>
      <c r="J14" s="22">
        <v>2</v>
      </c>
      <c r="K14" s="22">
        <f t="shared" si="17"/>
        <v>3</v>
      </c>
      <c r="L14" s="23" t="str">
        <f>IF(SUMPRODUCT($J$21:K$21,$J14:K14)&lt;0.5, "Pending", IF(K14&lt;0.5, "Complete", "In Progress"))</f>
        <v>In Progress</v>
      </c>
      <c r="M14" s="22">
        <v>2</v>
      </c>
      <c r="N14" s="22">
        <f t="shared" si="18"/>
        <v>1</v>
      </c>
      <c r="O14" s="23" t="str">
        <f>IF(SUMPRODUCT($J$21:N$21,$J14:N14)&lt;0.5, "Pending", IF(N14&lt;0.5, "Complete", "In Progress"))</f>
        <v>In Progress</v>
      </c>
      <c r="P14" s="22">
        <v>1</v>
      </c>
      <c r="Q14" s="22">
        <f t="shared" si="19"/>
        <v>0</v>
      </c>
      <c r="R14" s="23" t="str">
        <f>IF(SUMPRODUCT($J$21:Q$21,$J14:Q14)&lt;0.5, "Pending", IF(Q14&lt;0.5, "Complete", "In Progress"))</f>
        <v>Complete</v>
      </c>
      <c r="S14" s="22">
        <v>0</v>
      </c>
      <c r="T14" s="22">
        <f t="shared" si="20"/>
        <v>0</v>
      </c>
      <c r="U14" s="23" t="str">
        <f>IF(SUMPRODUCT($J$21:T$21,$J14:T14)&lt;0.5, "Pending", IF(T14&lt;0.5, "Complete", "In Progress"))</f>
        <v>Complete</v>
      </c>
      <c r="V14" s="22">
        <v>0</v>
      </c>
      <c r="W14" s="22">
        <f t="shared" si="21"/>
        <v>0</v>
      </c>
      <c r="X14" s="23" t="str">
        <f>IF(SUMPRODUCT($J$21:W$21,$J14:W14)&lt;0.5, "Pending", IF(W14&lt;0.5, "Complete", "In Progress"))</f>
        <v>Complete</v>
      </c>
      <c r="Y14" s="22">
        <v>0</v>
      </c>
      <c r="Z14" s="22">
        <f t="shared" si="22"/>
        <v>0</v>
      </c>
      <c r="AA14" s="23" t="str">
        <f>IF(SUMPRODUCT($J$21:Z$21,$J14:Z14)&lt;0.5, "Pending", IF(Z14&lt;0.5, "Complete", "In Progress"))</f>
        <v>Complete</v>
      </c>
      <c r="AB14" s="22">
        <v>0</v>
      </c>
      <c r="AC14" s="22">
        <f t="shared" si="23"/>
        <v>0</v>
      </c>
      <c r="AD14" s="23" t="str">
        <f>IF(SUMPRODUCT($J$21:AC$21,$J14:AC14)&lt;0.5, "Pending", IF(AC14&lt;0.5, "Complete", "In Progress"))</f>
        <v>Complete</v>
      </c>
      <c r="AE14" s="22">
        <v>0</v>
      </c>
      <c r="AF14" s="22" t="e">
        <f>MAX(#REF!-AE14,0)</f>
        <v>#REF!</v>
      </c>
      <c r="AG14" s="23" t="e">
        <f>IF(SUMPRODUCT($J$21:AF$21,$J14:AF14)&lt;0.5, "Pending", IF(AF14&lt;0.5, "Complete", "In Progress"))</f>
        <v>#REF!</v>
      </c>
      <c r="AH14" s="22">
        <v>0</v>
      </c>
      <c r="AI14" s="22" t="e">
        <f t="shared" si="24"/>
        <v>#REF!</v>
      </c>
      <c r="AJ14" s="23" t="e">
        <f>IF(SUMPRODUCT($J$21:AI$21,$J14:AI14)&lt;0.5, "Pending", IF(AI14&lt;0.5, "Complete", "In Progress"))</f>
        <v>#REF!</v>
      </c>
      <c r="AK14" s="22">
        <v>0</v>
      </c>
      <c r="AL14" s="22" t="e">
        <f t="shared" si="25"/>
        <v>#REF!</v>
      </c>
      <c r="AM14" s="23" t="e">
        <f>IF(SUMPRODUCT($J$21:AL$21,$J14:AL14)&lt;0.5, "Pending", IF(AL14&lt;0.5, "Complete", "In Progress"))</f>
        <v>#REF!</v>
      </c>
      <c r="AN14" s="22">
        <v>0</v>
      </c>
      <c r="AO14" s="22" t="e">
        <f t="shared" si="26"/>
        <v>#REF!</v>
      </c>
      <c r="AP14" s="23" t="e">
        <f>IF(SUMPRODUCT($J$21:AO$21,$J14:AO14)&lt;0.5, "Pending", IF(AO14&lt;0.5, "Complete", "In Progress"))</f>
        <v>#REF!</v>
      </c>
      <c r="AQ14" s="22">
        <v>0</v>
      </c>
      <c r="AR14" s="22" t="e">
        <f t="shared" si="27"/>
        <v>#REF!</v>
      </c>
      <c r="AS14" s="23" t="e">
        <f>IF(SUMPRODUCT($J$21:AR$21,$J14:AR14)&lt;0.5, "Pending", IF(AR14&lt;0.5, "Complete", "In Progress"))</f>
        <v>#REF!</v>
      </c>
      <c r="AT14" s="22">
        <v>0</v>
      </c>
      <c r="AU14" s="22" t="e">
        <f t="shared" si="28"/>
        <v>#REF!</v>
      </c>
      <c r="AV14" s="23" t="e">
        <f>IF(SUMPRODUCT($J$21:AU$21,$J14:AU14)&lt;0.5, "Pending", IF(AU14&lt;0.5, "Complete", "In Progress"))</f>
        <v>#REF!</v>
      </c>
      <c r="AW14" s="22">
        <v>0</v>
      </c>
      <c r="AX14" s="22" t="e">
        <f t="shared" si="29"/>
        <v>#REF!</v>
      </c>
      <c r="AY14" s="23" t="e">
        <f>IF(SUMPRODUCT($J$21:AX$21,$J14:AX14)&lt;0.5, "Pending", IF(AX14&lt;0.5, "Complete", "In Progress"))</f>
        <v>#REF!</v>
      </c>
      <c r="AZ14" s="22">
        <v>0</v>
      </c>
      <c r="BA14" s="22" t="e">
        <f t="shared" si="30"/>
        <v>#REF!</v>
      </c>
      <c r="BB14" s="23" t="e">
        <f>IF(SUMPRODUCT($J$21:BA$21,$J14:BA14)&lt;0.5, "Pending", IF(BA14&lt;0.5, "Complete", "In Progress"))</f>
        <v>#REF!</v>
      </c>
      <c r="BC14" s="22">
        <v>0</v>
      </c>
      <c r="BD14" s="22" t="e">
        <f t="shared" si="31"/>
        <v>#REF!</v>
      </c>
      <c r="BE14" s="23" t="e">
        <f>IF(SUMPRODUCT($J$21:BD$21,$J14:BD14)&lt;0.5, "Pending", IF(BD14&lt;0.5, "Complete", "In Progress"))</f>
        <v>#REF!</v>
      </c>
      <c r="BF14" s="22">
        <v>0</v>
      </c>
      <c r="BG14" s="22" t="e">
        <f t="shared" si="32"/>
        <v>#REF!</v>
      </c>
      <c r="BH14" s="23" t="e">
        <f>IF(SUMPRODUCT($J$21:BG$21,$J14:BG14)&lt;0.5, "Pending", IF(BG14&lt;0.5, "Complete", "In Progress"))</f>
        <v>#REF!</v>
      </c>
      <c r="BI14" s="24"/>
      <c r="BJ14" s="25">
        <f>SUMPRODUCT($H$21:AD$21,$H14:AD14)</f>
        <v>5</v>
      </c>
    </row>
    <row r="15" spans="1:62" x14ac:dyDescent="0.2">
      <c r="A15" s="16" t="s">
        <v>100</v>
      </c>
      <c r="B15" s="16" t="s">
        <v>110</v>
      </c>
      <c r="C15" s="16"/>
      <c r="D15" s="17">
        <v>13</v>
      </c>
      <c r="E15" s="178" t="s">
        <v>150</v>
      </c>
      <c r="F15" s="18" t="s">
        <v>127</v>
      </c>
      <c r="G15" s="19" t="str">
        <f t="shared" ca="1" si="0"/>
        <v>Complete</v>
      </c>
      <c r="H15" s="20">
        <v>1</v>
      </c>
      <c r="I15" s="21">
        <v>5</v>
      </c>
      <c r="J15" s="22">
        <v>0</v>
      </c>
      <c r="K15" s="22">
        <f t="shared" ref="K15" si="49">MAX(I15-J15, 0)</f>
        <v>5</v>
      </c>
      <c r="L15" s="23" t="str">
        <f>IF(SUMPRODUCT($J$21:K$21,$J15:K15)&lt;0.5, "Pending", IF(K15&lt;0.5, "Complete", "In Progress"))</f>
        <v>Pending</v>
      </c>
      <c r="M15" s="22">
        <v>0</v>
      </c>
      <c r="N15" s="22">
        <f t="shared" ref="N15" si="50">MAX(K15-M15,0)</f>
        <v>5</v>
      </c>
      <c r="O15" s="23" t="str">
        <f>IF(SUMPRODUCT($J$21:N$21,$J15:N15)&lt;0.5, "Pending", IF(N15&lt;0.5, "Complete", "In Progress"))</f>
        <v>Pending</v>
      </c>
      <c r="P15" s="22">
        <v>0</v>
      </c>
      <c r="Q15" s="22">
        <f t="shared" ref="Q15" si="51">MAX(N15-P15,0)</f>
        <v>5</v>
      </c>
      <c r="R15" s="23" t="str">
        <f>IF(SUMPRODUCT($J$21:Q$21,$J15:Q15)&lt;0.5, "Pending", IF(Q15&lt;0.5, "Complete", "In Progress"))</f>
        <v>Pending</v>
      </c>
      <c r="S15" s="22">
        <v>2</v>
      </c>
      <c r="T15" s="22">
        <f t="shared" ref="T15" si="52">MAX(Q15-S15,0)</f>
        <v>3</v>
      </c>
      <c r="U15" s="23" t="str">
        <f>IF(SUMPRODUCT($J$21:T$21,$J15:T15)&lt;0.5, "Pending", IF(T15&lt;0.5, "Complete", "In Progress"))</f>
        <v>In Progress</v>
      </c>
      <c r="V15" s="22">
        <v>3</v>
      </c>
      <c r="W15" s="22">
        <f t="shared" ref="W15" si="53">MAX(T15-V15,0)</f>
        <v>0</v>
      </c>
      <c r="X15" s="23" t="str">
        <f>IF(SUMPRODUCT($J$21:W$21,$J15:W15)&lt;0.5, "Pending", IF(W15&lt;0.5, "Complete", "In Progress"))</f>
        <v>Complete</v>
      </c>
      <c r="Y15" s="22">
        <v>0</v>
      </c>
      <c r="Z15" s="22">
        <f t="shared" ref="Z15" si="54">MAX(W15-Y15,0)</f>
        <v>0</v>
      </c>
      <c r="AA15" s="23" t="str">
        <f>IF(SUMPRODUCT($J$21:Z$21,$J15:Z15)&lt;0.5, "Pending", IF(Z15&lt;0.5, "Complete", "In Progress"))</f>
        <v>Complete</v>
      </c>
      <c r="AB15" s="22">
        <v>0</v>
      </c>
      <c r="AC15" s="22">
        <f t="shared" ref="AC15" si="55">MAX(Z15-AB15,0)</f>
        <v>0</v>
      </c>
      <c r="AD15" s="23" t="str">
        <f>IF(SUMPRODUCT($J$21:AC$21,$J15:AC15)&lt;0.5, "Pending", IF(AC15&lt;0.5, "Complete", "In Progress"))</f>
        <v>Complete</v>
      </c>
      <c r="AE15" s="22">
        <v>0</v>
      </c>
      <c r="AF15" s="22" t="e">
        <f>MAX(#REF!-AE15,0)</f>
        <v>#REF!</v>
      </c>
      <c r="AG15" s="23" t="e">
        <f>IF(SUMPRODUCT($J$21:AF$21,$J15:AF15)&lt;0.5, "Pending", IF(AF15&lt;0.5, "Complete", "In Progress"))</f>
        <v>#REF!</v>
      </c>
      <c r="AH15" s="22">
        <v>0</v>
      </c>
      <c r="AI15" s="22" t="e">
        <f t="shared" ref="AI15" si="56">MAX(AF15-AH15,0)</f>
        <v>#REF!</v>
      </c>
      <c r="AJ15" s="23" t="e">
        <f>IF(SUMPRODUCT($J$21:AI$21,$J15:AI15)&lt;0.5, "Pending", IF(AI15&lt;0.5, "Complete", "In Progress"))</f>
        <v>#REF!</v>
      </c>
      <c r="AK15" s="22">
        <v>0</v>
      </c>
      <c r="AL15" s="22" t="e">
        <f t="shared" ref="AL15" si="57">MAX(AI15-AK15,0)</f>
        <v>#REF!</v>
      </c>
      <c r="AM15" s="23" t="e">
        <f>IF(SUMPRODUCT($J$21:AL$21,$J15:AL15)&lt;0.5, "Pending", IF(AL15&lt;0.5, "Complete", "In Progress"))</f>
        <v>#REF!</v>
      </c>
      <c r="AN15" s="22">
        <v>0</v>
      </c>
      <c r="AO15" s="22" t="e">
        <f t="shared" ref="AO15" si="58">MAX(AL15-AN15,0)</f>
        <v>#REF!</v>
      </c>
      <c r="AP15" s="23" t="e">
        <f>IF(SUMPRODUCT($J$21:AO$21,$J15:AO15)&lt;0.5, "Pending", IF(AO15&lt;0.5, "Complete", "In Progress"))</f>
        <v>#REF!</v>
      </c>
      <c r="AQ15" s="22">
        <v>0</v>
      </c>
      <c r="AR15" s="22" t="e">
        <f t="shared" ref="AR15" si="59">MAX(AO15-AQ15,0)</f>
        <v>#REF!</v>
      </c>
      <c r="AS15" s="23" t="e">
        <f>IF(SUMPRODUCT($J$21:AR$21,$J15:AR15)&lt;0.5, "Pending", IF(AR15&lt;0.5, "Complete", "In Progress"))</f>
        <v>#REF!</v>
      </c>
      <c r="AT15" s="22">
        <v>0</v>
      </c>
      <c r="AU15" s="22" t="e">
        <f t="shared" ref="AU15" si="60">MAX(AR15-AT15,0)</f>
        <v>#REF!</v>
      </c>
      <c r="AV15" s="23" t="e">
        <f>IF(SUMPRODUCT($J$21:AU$21,$J15:AU15)&lt;0.5, "Pending", IF(AU15&lt;0.5, "Complete", "In Progress"))</f>
        <v>#REF!</v>
      </c>
      <c r="AW15" s="22">
        <v>0</v>
      </c>
      <c r="AX15" s="22" t="e">
        <f t="shared" ref="AX15" si="61">MAX(AU15-AW15,0)</f>
        <v>#REF!</v>
      </c>
      <c r="AY15" s="23" t="e">
        <f>IF(SUMPRODUCT($J$21:AX$21,$J15:AX15)&lt;0.5, "Pending", IF(AX15&lt;0.5, "Complete", "In Progress"))</f>
        <v>#REF!</v>
      </c>
      <c r="AZ15" s="22">
        <v>0</v>
      </c>
      <c r="BA15" s="22" t="e">
        <f t="shared" ref="BA15" si="62">MAX(AX15-AZ15,0)</f>
        <v>#REF!</v>
      </c>
      <c r="BB15" s="23" t="e">
        <f>IF(SUMPRODUCT($J$21:BA$21,$J15:BA15)&lt;0.5, "Pending", IF(BA15&lt;0.5, "Complete", "In Progress"))</f>
        <v>#REF!</v>
      </c>
      <c r="BC15" s="22">
        <v>0</v>
      </c>
      <c r="BD15" s="22" t="e">
        <f t="shared" ref="BD15" si="63">MAX(BA15-BC15,0)</f>
        <v>#REF!</v>
      </c>
      <c r="BE15" s="23" t="e">
        <f>IF(SUMPRODUCT($J$21:BD$21,$J15:BD15)&lt;0.5, "Pending", IF(BD15&lt;0.5, "Complete", "In Progress"))</f>
        <v>#REF!</v>
      </c>
      <c r="BF15" s="22">
        <v>0</v>
      </c>
      <c r="BG15" s="22" t="e">
        <f t="shared" ref="BG15" si="64">MAX(BD15-BF15,0)</f>
        <v>#REF!</v>
      </c>
      <c r="BH15" s="23" t="e">
        <f>IF(SUMPRODUCT($J$21:BG$21,$J15:BG15)&lt;0.5, "Pending", IF(BG15&lt;0.5, "Complete", "In Progress"))</f>
        <v>#REF!</v>
      </c>
      <c r="BI15" s="24"/>
      <c r="BJ15" s="25">
        <f>SUMPRODUCT($H$21:AD$21,$H15:AD15)</f>
        <v>5</v>
      </c>
    </row>
    <row r="16" spans="1:62" x14ac:dyDescent="0.2">
      <c r="A16" s="16" t="s">
        <v>100</v>
      </c>
      <c r="B16" s="16" t="s">
        <v>110</v>
      </c>
      <c r="C16" s="16"/>
      <c r="D16" s="17">
        <v>14</v>
      </c>
      <c r="E16" s="178" t="s">
        <v>151</v>
      </c>
      <c r="F16" s="18" t="s">
        <v>134</v>
      </c>
      <c r="G16" s="19" t="str">
        <f t="shared" ca="1" si="0"/>
        <v>Complete</v>
      </c>
      <c r="H16" s="20">
        <v>1</v>
      </c>
      <c r="I16" s="21">
        <v>4</v>
      </c>
      <c r="J16" s="22">
        <v>2</v>
      </c>
      <c r="K16" s="22">
        <f t="shared" ref="K16" si="65">MAX(I16-J16, 0)</f>
        <v>2</v>
      </c>
      <c r="L16" s="23" t="str">
        <f>IF(SUMPRODUCT($J$21:K$21,$J16:K16)&lt;0.5, "Pending", IF(K16&lt;0.5, "Complete", "In Progress"))</f>
        <v>In Progress</v>
      </c>
      <c r="M16" s="22">
        <v>2</v>
      </c>
      <c r="N16" s="22">
        <f t="shared" ref="N16" si="66">MAX(K16-M16,0)</f>
        <v>0</v>
      </c>
      <c r="O16" s="23" t="str">
        <f>IF(SUMPRODUCT($J$21:N$21,$J16:N16)&lt;0.5, "Pending", IF(N16&lt;0.5, "Complete", "In Progress"))</f>
        <v>Complete</v>
      </c>
      <c r="P16" s="22">
        <v>0</v>
      </c>
      <c r="Q16" s="22">
        <f t="shared" ref="Q16" si="67">MAX(N16-P16,0)</f>
        <v>0</v>
      </c>
      <c r="R16" s="23" t="str">
        <f>IF(SUMPRODUCT($J$21:Q$21,$J16:Q16)&lt;0.5, "Pending", IF(Q16&lt;0.5, "Complete", "In Progress"))</f>
        <v>Complete</v>
      </c>
      <c r="S16" s="22">
        <v>0</v>
      </c>
      <c r="T16" s="22">
        <f t="shared" ref="T16" si="68">MAX(Q16-S16,0)</f>
        <v>0</v>
      </c>
      <c r="U16" s="23" t="str">
        <f>IF(SUMPRODUCT($J$21:T$21,$J16:T16)&lt;0.5, "Pending", IF(T16&lt;0.5, "Complete", "In Progress"))</f>
        <v>Complete</v>
      </c>
      <c r="V16" s="22">
        <v>0</v>
      </c>
      <c r="W16" s="22">
        <f t="shared" ref="W16" si="69">MAX(T16-V16,0)</f>
        <v>0</v>
      </c>
      <c r="X16" s="23" t="str">
        <f>IF(SUMPRODUCT($J$21:W$21,$J16:W16)&lt;0.5, "Pending", IF(W16&lt;0.5, "Complete", "In Progress"))</f>
        <v>Complete</v>
      </c>
      <c r="Y16" s="22">
        <v>0</v>
      </c>
      <c r="Z16" s="22">
        <f t="shared" ref="Z16" si="70">MAX(W16-Y16,0)</f>
        <v>0</v>
      </c>
      <c r="AA16" s="23" t="str">
        <f>IF(SUMPRODUCT($J$21:Z$21,$J16:Z16)&lt;0.5, "Pending", IF(Z16&lt;0.5, "Complete", "In Progress"))</f>
        <v>Complete</v>
      </c>
      <c r="AB16" s="22">
        <v>0</v>
      </c>
      <c r="AC16" s="22">
        <f t="shared" ref="AC16" si="71">MAX(Z16-AB16,0)</f>
        <v>0</v>
      </c>
      <c r="AD16" s="23" t="str">
        <f>IF(SUMPRODUCT($J$21:AC$21,$J16:AC16)&lt;0.5, "Pending", IF(AC16&lt;0.5, "Complete", "In Progress"))</f>
        <v>Complete</v>
      </c>
      <c r="AE16" s="22">
        <v>0</v>
      </c>
      <c r="AF16" s="22" t="e">
        <f>MAX(#REF!-AE16,0)</f>
        <v>#REF!</v>
      </c>
      <c r="AG16" s="23" t="e">
        <f>IF(SUMPRODUCT($J$21:AF$21,$J16:AF16)&lt;0.5, "Pending", IF(AF16&lt;0.5, "Complete", "In Progress"))</f>
        <v>#REF!</v>
      </c>
      <c r="AH16" s="22">
        <v>0</v>
      </c>
      <c r="AI16" s="22" t="e">
        <f t="shared" ref="AI16" si="72">MAX(AF16-AH16,0)</f>
        <v>#REF!</v>
      </c>
      <c r="AJ16" s="23" t="e">
        <f>IF(SUMPRODUCT($J$21:AI$21,$J16:AI16)&lt;0.5, "Pending", IF(AI16&lt;0.5, "Complete", "In Progress"))</f>
        <v>#REF!</v>
      </c>
      <c r="AK16" s="22">
        <v>0</v>
      </c>
      <c r="AL16" s="22" t="e">
        <f t="shared" ref="AL16" si="73">MAX(AI16-AK16,0)</f>
        <v>#REF!</v>
      </c>
      <c r="AM16" s="23" t="e">
        <f>IF(SUMPRODUCT($J$21:AL$21,$J16:AL16)&lt;0.5, "Pending", IF(AL16&lt;0.5, "Complete", "In Progress"))</f>
        <v>#REF!</v>
      </c>
      <c r="AN16" s="22">
        <v>0</v>
      </c>
      <c r="AO16" s="22" t="e">
        <f t="shared" ref="AO16" si="74">MAX(AL16-AN16,0)</f>
        <v>#REF!</v>
      </c>
      <c r="AP16" s="23" t="e">
        <f>IF(SUMPRODUCT($J$21:AO$21,$J16:AO16)&lt;0.5, "Pending", IF(AO16&lt;0.5, "Complete", "In Progress"))</f>
        <v>#REF!</v>
      </c>
      <c r="AQ16" s="22">
        <v>0</v>
      </c>
      <c r="AR16" s="22" t="e">
        <f t="shared" ref="AR16" si="75">MAX(AO16-AQ16,0)</f>
        <v>#REF!</v>
      </c>
      <c r="AS16" s="23" t="e">
        <f>IF(SUMPRODUCT($J$21:AR$21,$J16:AR16)&lt;0.5, "Pending", IF(AR16&lt;0.5, "Complete", "In Progress"))</f>
        <v>#REF!</v>
      </c>
      <c r="AT16" s="22">
        <v>0</v>
      </c>
      <c r="AU16" s="22" t="e">
        <f t="shared" ref="AU16" si="76">MAX(AR16-AT16,0)</f>
        <v>#REF!</v>
      </c>
      <c r="AV16" s="23" t="e">
        <f>IF(SUMPRODUCT($J$21:AU$21,$J16:AU16)&lt;0.5, "Pending", IF(AU16&lt;0.5, "Complete", "In Progress"))</f>
        <v>#REF!</v>
      </c>
      <c r="AW16" s="22">
        <v>0</v>
      </c>
      <c r="AX16" s="22" t="e">
        <f t="shared" ref="AX16" si="77">MAX(AU16-AW16,0)</f>
        <v>#REF!</v>
      </c>
      <c r="AY16" s="23" t="e">
        <f>IF(SUMPRODUCT($J$21:AX$21,$J16:AX16)&lt;0.5, "Pending", IF(AX16&lt;0.5, "Complete", "In Progress"))</f>
        <v>#REF!</v>
      </c>
      <c r="AZ16" s="22">
        <v>0</v>
      </c>
      <c r="BA16" s="22" t="e">
        <f t="shared" ref="BA16" si="78">MAX(AX16-AZ16,0)</f>
        <v>#REF!</v>
      </c>
      <c r="BB16" s="23" t="e">
        <f>IF(SUMPRODUCT($J$21:BA$21,$J16:BA16)&lt;0.5, "Pending", IF(BA16&lt;0.5, "Complete", "In Progress"))</f>
        <v>#REF!</v>
      </c>
      <c r="BC16" s="22">
        <v>0</v>
      </c>
      <c r="BD16" s="22" t="e">
        <f t="shared" ref="BD16" si="79">MAX(BA16-BC16,0)</f>
        <v>#REF!</v>
      </c>
      <c r="BE16" s="23" t="e">
        <f>IF(SUMPRODUCT($J$21:BD$21,$J16:BD16)&lt;0.5, "Pending", IF(BD16&lt;0.5, "Complete", "In Progress"))</f>
        <v>#REF!</v>
      </c>
      <c r="BF16" s="22">
        <v>0</v>
      </c>
      <c r="BG16" s="22" t="e">
        <f t="shared" ref="BG16" si="80">MAX(BD16-BF16,0)</f>
        <v>#REF!</v>
      </c>
      <c r="BH16" s="23" t="e">
        <f>IF(SUMPRODUCT($J$21:BG$21,$J16:BG16)&lt;0.5, "Pending", IF(BG16&lt;0.5, "Complete", "In Progress"))</f>
        <v>#REF!</v>
      </c>
      <c r="BI16" s="24"/>
      <c r="BJ16" s="25">
        <f>SUMPRODUCT($H$21:AD$21,$H16:AD16)</f>
        <v>4</v>
      </c>
    </row>
    <row r="17" spans="1:62" x14ac:dyDescent="0.2">
      <c r="A17" s="16" t="s">
        <v>100</v>
      </c>
      <c r="B17" s="16" t="s">
        <v>110</v>
      </c>
      <c r="C17" s="16"/>
      <c r="D17" s="17">
        <v>15</v>
      </c>
      <c r="E17" s="178" t="s">
        <v>151</v>
      </c>
      <c r="F17" s="18" t="s">
        <v>128</v>
      </c>
      <c r="G17" s="19" t="str">
        <f t="shared" ca="1" si="0"/>
        <v>Complete</v>
      </c>
      <c r="H17" s="20">
        <v>1</v>
      </c>
      <c r="I17" s="21">
        <v>4</v>
      </c>
      <c r="J17" s="22">
        <v>0</v>
      </c>
      <c r="K17" s="22">
        <f t="shared" ref="K17" si="81">MAX(I17-J17, 0)</f>
        <v>4</v>
      </c>
      <c r="L17" s="23" t="str">
        <f>IF(SUMPRODUCT($J$21:K$21,$J17:K17)&lt;0.5, "Pending", IF(K17&lt;0.5, "Complete", "In Progress"))</f>
        <v>Pending</v>
      </c>
      <c r="M17" s="22">
        <v>0</v>
      </c>
      <c r="N17" s="22">
        <f t="shared" ref="N17" si="82">MAX(K17-M17,0)</f>
        <v>4</v>
      </c>
      <c r="O17" s="23" t="str">
        <f>IF(SUMPRODUCT($J$21:N$21,$J17:N17)&lt;0.5, "Pending", IF(N17&lt;0.5, "Complete", "In Progress"))</f>
        <v>Pending</v>
      </c>
      <c r="P17" s="22">
        <v>0</v>
      </c>
      <c r="Q17" s="22">
        <f t="shared" ref="Q17" si="83">MAX(N17-P17,0)</f>
        <v>4</v>
      </c>
      <c r="R17" s="23" t="str">
        <f>IF(SUMPRODUCT($J$21:Q$21,$J17:Q17)&lt;0.5, "Pending", IF(Q17&lt;0.5, "Complete", "In Progress"))</f>
        <v>Pending</v>
      </c>
      <c r="S17" s="22">
        <v>2</v>
      </c>
      <c r="T17" s="22">
        <f t="shared" ref="T17" si="84">MAX(Q17-S17,0)</f>
        <v>2</v>
      </c>
      <c r="U17" s="23" t="str">
        <f>IF(SUMPRODUCT($J$21:T$21,$J17:T17)&lt;0.5, "Pending", IF(T17&lt;0.5, "Complete", "In Progress"))</f>
        <v>In Progress</v>
      </c>
      <c r="V17" s="22">
        <v>2</v>
      </c>
      <c r="W17" s="22">
        <f t="shared" ref="W17" si="85">MAX(T17-V17,0)</f>
        <v>0</v>
      </c>
      <c r="X17" s="23" t="str">
        <f>IF(SUMPRODUCT($J$21:W$21,$J17:W17)&lt;0.5, "Pending", IF(W17&lt;0.5, "Complete", "In Progress"))</f>
        <v>Complete</v>
      </c>
      <c r="Y17" s="22">
        <v>0</v>
      </c>
      <c r="Z17" s="22">
        <f t="shared" ref="Z17" si="86">MAX(W17-Y17,0)</f>
        <v>0</v>
      </c>
      <c r="AA17" s="23" t="str">
        <f>IF(SUMPRODUCT($J$21:Z$21,$J17:Z17)&lt;0.5, "Pending", IF(Z17&lt;0.5, "Complete", "In Progress"))</f>
        <v>Complete</v>
      </c>
      <c r="AB17" s="22">
        <v>0</v>
      </c>
      <c r="AC17" s="22">
        <f t="shared" ref="AC17" si="87">MAX(Z17-AB17,0)</f>
        <v>0</v>
      </c>
      <c r="AD17" s="23" t="str">
        <f>IF(SUMPRODUCT($J$21:AC$21,$J17:AC17)&lt;0.5, "Pending", IF(AC17&lt;0.5, "Complete", "In Progress"))</f>
        <v>Complete</v>
      </c>
      <c r="AE17" s="22">
        <v>0</v>
      </c>
      <c r="AF17" s="22" t="e">
        <f>MAX(#REF!-AE17,0)</f>
        <v>#REF!</v>
      </c>
      <c r="AG17" s="23" t="e">
        <f>IF(SUMPRODUCT($J$21:AF$21,$J17:AF17)&lt;0.5, "Pending", IF(AF17&lt;0.5, "Complete", "In Progress"))</f>
        <v>#REF!</v>
      </c>
      <c r="AH17" s="22">
        <v>0</v>
      </c>
      <c r="AI17" s="22" t="e">
        <f t="shared" ref="AI17" si="88">MAX(AF17-AH17,0)</f>
        <v>#REF!</v>
      </c>
      <c r="AJ17" s="23" t="e">
        <f>IF(SUMPRODUCT($J$21:AI$21,$J17:AI17)&lt;0.5, "Pending", IF(AI17&lt;0.5, "Complete", "In Progress"))</f>
        <v>#REF!</v>
      </c>
      <c r="AK17" s="22">
        <v>0</v>
      </c>
      <c r="AL17" s="22" t="e">
        <f t="shared" ref="AL17" si="89">MAX(AI17-AK17,0)</f>
        <v>#REF!</v>
      </c>
      <c r="AM17" s="23" t="e">
        <f>IF(SUMPRODUCT($J$21:AL$21,$J17:AL17)&lt;0.5, "Pending", IF(AL17&lt;0.5, "Complete", "In Progress"))</f>
        <v>#REF!</v>
      </c>
      <c r="AN17" s="22">
        <v>0</v>
      </c>
      <c r="AO17" s="22" t="e">
        <f t="shared" ref="AO17" si="90">MAX(AL17-AN17,0)</f>
        <v>#REF!</v>
      </c>
      <c r="AP17" s="23" t="e">
        <f>IF(SUMPRODUCT($J$21:AO$21,$J17:AO17)&lt;0.5, "Pending", IF(AO17&lt;0.5, "Complete", "In Progress"))</f>
        <v>#REF!</v>
      </c>
      <c r="AQ17" s="22">
        <v>0</v>
      </c>
      <c r="AR17" s="22" t="e">
        <f t="shared" ref="AR17" si="91">MAX(AO17-AQ17,0)</f>
        <v>#REF!</v>
      </c>
      <c r="AS17" s="23" t="e">
        <f>IF(SUMPRODUCT($J$21:AR$21,$J17:AR17)&lt;0.5, "Pending", IF(AR17&lt;0.5, "Complete", "In Progress"))</f>
        <v>#REF!</v>
      </c>
      <c r="AT17" s="22">
        <v>0</v>
      </c>
      <c r="AU17" s="22" t="e">
        <f t="shared" ref="AU17" si="92">MAX(AR17-AT17,0)</f>
        <v>#REF!</v>
      </c>
      <c r="AV17" s="23" t="e">
        <f>IF(SUMPRODUCT($J$21:AU$21,$J17:AU17)&lt;0.5, "Pending", IF(AU17&lt;0.5, "Complete", "In Progress"))</f>
        <v>#REF!</v>
      </c>
      <c r="AW17" s="22">
        <v>0</v>
      </c>
      <c r="AX17" s="22" t="e">
        <f t="shared" ref="AX17" si="93">MAX(AU17-AW17,0)</f>
        <v>#REF!</v>
      </c>
      <c r="AY17" s="23" t="e">
        <f>IF(SUMPRODUCT($J$21:AX$21,$J17:AX17)&lt;0.5, "Pending", IF(AX17&lt;0.5, "Complete", "In Progress"))</f>
        <v>#REF!</v>
      </c>
      <c r="AZ17" s="22">
        <v>0</v>
      </c>
      <c r="BA17" s="22" t="e">
        <f t="shared" ref="BA17" si="94">MAX(AX17-AZ17,0)</f>
        <v>#REF!</v>
      </c>
      <c r="BB17" s="23" t="e">
        <f>IF(SUMPRODUCT($J$21:BA$21,$J17:BA17)&lt;0.5, "Pending", IF(BA17&lt;0.5, "Complete", "In Progress"))</f>
        <v>#REF!</v>
      </c>
      <c r="BC17" s="22">
        <v>0</v>
      </c>
      <c r="BD17" s="22" t="e">
        <f t="shared" ref="BD17" si="95">MAX(BA17-BC17,0)</f>
        <v>#REF!</v>
      </c>
      <c r="BE17" s="23" t="e">
        <f>IF(SUMPRODUCT($J$21:BD$21,$J17:BD17)&lt;0.5, "Pending", IF(BD17&lt;0.5, "Complete", "In Progress"))</f>
        <v>#REF!</v>
      </c>
      <c r="BF17" s="22">
        <v>0</v>
      </c>
      <c r="BG17" s="22" t="e">
        <f t="shared" ref="BG17" si="96">MAX(BD17-BF17,0)</f>
        <v>#REF!</v>
      </c>
      <c r="BH17" s="23" t="e">
        <f>IF(SUMPRODUCT($J$21:BG$21,$J17:BG17)&lt;0.5, "Pending", IF(BG17&lt;0.5, "Complete", "In Progress"))</f>
        <v>#REF!</v>
      </c>
      <c r="BI17" s="24"/>
      <c r="BJ17" s="25">
        <f>SUMPRODUCT($H$21:AD$21,$H17:AD17)</f>
        <v>4</v>
      </c>
    </row>
    <row r="18" spans="1:62" x14ac:dyDescent="0.2">
      <c r="A18" s="16"/>
      <c r="B18" s="16"/>
      <c r="C18" s="16"/>
      <c r="D18" s="17"/>
      <c r="E18" s="177"/>
      <c r="F18" s="18" t="s">
        <v>48</v>
      </c>
      <c r="G18" s="19" t="str">
        <f t="shared" ca="1" si="0"/>
        <v>Pending</v>
      </c>
      <c r="H18" s="20">
        <v>1</v>
      </c>
      <c r="I18" s="21">
        <v>0</v>
      </c>
      <c r="J18" s="22">
        <v>0</v>
      </c>
      <c r="K18" s="22">
        <f t="shared" ref="K18" si="97">MAX(I18-J18, 0)</f>
        <v>0</v>
      </c>
      <c r="L18" s="23" t="str">
        <f>IF(SUMPRODUCT($J$21:K$21,$J18:K18)&lt;0.5, "Pending", IF(K18&lt;0.5, "Complete", "In Progress"))</f>
        <v>Pending</v>
      </c>
      <c r="M18" s="22">
        <v>0</v>
      </c>
      <c r="N18" s="22">
        <f t="shared" ref="N18" si="98">MAX(K18-M18,0)</f>
        <v>0</v>
      </c>
      <c r="O18" s="23" t="str">
        <f>IF(SUMPRODUCT($J$21:N$21,$J18:N18)&lt;0.5, "Pending", IF(N18&lt;0.5, "Complete", "In Progress"))</f>
        <v>Pending</v>
      </c>
      <c r="P18" s="22">
        <v>0</v>
      </c>
      <c r="Q18" s="22">
        <f t="shared" ref="Q18" si="99">MAX(N18-P18,0)</f>
        <v>0</v>
      </c>
      <c r="R18" s="23" t="str">
        <f>IF(SUMPRODUCT($J$21:Q$21,$J18:Q18)&lt;0.5, "Pending", IF(Q18&lt;0.5, "Complete", "In Progress"))</f>
        <v>Pending</v>
      </c>
      <c r="S18" s="22">
        <v>0</v>
      </c>
      <c r="T18" s="22">
        <f t="shared" ref="T18" si="100">MAX(Q18-S18,0)</f>
        <v>0</v>
      </c>
      <c r="U18" s="23" t="str">
        <f>IF(SUMPRODUCT($J$21:T$21,$J18:T18)&lt;0.5, "Pending", IF(T18&lt;0.5, "Complete", "In Progress"))</f>
        <v>Pending</v>
      </c>
      <c r="V18" s="22">
        <v>0</v>
      </c>
      <c r="W18" s="22">
        <f t="shared" ref="W18" si="101">MAX(T18-V18,0)</f>
        <v>0</v>
      </c>
      <c r="X18" s="23" t="str">
        <f>IF(SUMPRODUCT($J$21:W$21,$J18:W18)&lt;0.5, "Pending", IF(W18&lt;0.5, "Complete", "In Progress"))</f>
        <v>Pending</v>
      </c>
      <c r="Y18" s="22">
        <v>0</v>
      </c>
      <c r="Z18" s="22">
        <f t="shared" ref="Z18" si="102">MAX(W18-Y18,0)</f>
        <v>0</v>
      </c>
      <c r="AA18" s="23" t="str">
        <f>IF(SUMPRODUCT($J$21:Z$21,$J18:Z18)&lt;0.5, "Pending", IF(Z18&lt;0.5, "Complete", "In Progress"))</f>
        <v>Pending</v>
      </c>
      <c r="AB18" s="22">
        <v>0</v>
      </c>
      <c r="AC18" s="22">
        <f t="shared" ref="AC18" si="103">MAX(Z18-AB18,0)</f>
        <v>0</v>
      </c>
      <c r="AD18" s="23" t="str">
        <f>IF(SUMPRODUCT($J$21:AC$21,$J18:AC18)&lt;0.5, "Pending", IF(AC18&lt;0.5, "Complete", "In Progress"))</f>
        <v>Pending</v>
      </c>
      <c r="AE18" s="22">
        <v>0</v>
      </c>
      <c r="AF18" s="22" t="e">
        <f>MAX(#REF!-AE18,0)</f>
        <v>#REF!</v>
      </c>
      <c r="AG18" s="23" t="e">
        <f>IF(SUMPRODUCT($J$21:AF$21,$J18:AF18)&lt;0.5, "Pending", IF(AF18&lt;0.5, "Complete", "In Progress"))</f>
        <v>#REF!</v>
      </c>
      <c r="AH18" s="22">
        <v>0</v>
      </c>
      <c r="AI18" s="22" t="e">
        <f t="shared" ref="AI18" si="104">MAX(AF18-AH18,0)</f>
        <v>#REF!</v>
      </c>
      <c r="AJ18" s="23" t="e">
        <f>IF(SUMPRODUCT($J$21:AI$21,$J18:AI18)&lt;0.5, "Pending", IF(AI18&lt;0.5, "Complete", "In Progress"))</f>
        <v>#REF!</v>
      </c>
      <c r="AK18" s="22">
        <v>0</v>
      </c>
      <c r="AL18" s="22" t="e">
        <f t="shared" ref="AL18" si="105">MAX(AI18-AK18,0)</f>
        <v>#REF!</v>
      </c>
      <c r="AM18" s="23" t="e">
        <f>IF(SUMPRODUCT($J$21:AL$21,$J18:AL18)&lt;0.5, "Pending", IF(AL18&lt;0.5, "Complete", "In Progress"))</f>
        <v>#REF!</v>
      </c>
      <c r="AN18" s="22">
        <v>0</v>
      </c>
      <c r="AO18" s="22" t="e">
        <f t="shared" ref="AO18" si="106">MAX(AL18-AN18,0)</f>
        <v>#REF!</v>
      </c>
      <c r="AP18" s="23" t="e">
        <f>IF(SUMPRODUCT($J$21:AO$21,$J18:AO18)&lt;0.5, "Pending", IF(AO18&lt;0.5, "Complete", "In Progress"))</f>
        <v>#REF!</v>
      </c>
      <c r="AQ18" s="22">
        <v>0</v>
      </c>
      <c r="AR18" s="22" t="e">
        <f t="shared" ref="AR18" si="107">MAX(AO18-AQ18,0)</f>
        <v>#REF!</v>
      </c>
      <c r="AS18" s="23" t="e">
        <f>IF(SUMPRODUCT($J$21:AR$21,$J18:AR18)&lt;0.5, "Pending", IF(AR18&lt;0.5, "Complete", "In Progress"))</f>
        <v>#REF!</v>
      </c>
      <c r="AT18" s="22">
        <v>0</v>
      </c>
      <c r="AU18" s="22" t="e">
        <f t="shared" ref="AU18" si="108">MAX(AR18-AT18,0)</f>
        <v>#REF!</v>
      </c>
      <c r="AV18" s="23" t="e">
        <f>IF(SUMPRODUCT($J$21:AU$21,$J18:AU18)&lt;0.5, "Pending", IF(AU18&lt;0.5, "Complete", "In Progress"))</f>
        <v>#REF!</v>
      </c>
      <c r="AW18" s="22">
        <v>0</v>
      </c>
      <c r="AX18" s="22" t="e">
        <f t="shared" ref="AX18" si="109">MAX(AU18-AW18,0)</f>
        <v>#REF!</v>
      </c>
      <c r="AY18" s="23" t="e">
        <f>IF(SUMPRODUCT($J$21:AX$21,$J18:AX18)&lt;0.5, "Pending", IF(AX18&lt;0.5, "Complete", "In Progress"))</f>
        <v>#REF!</v>
      </c>
      <c r="AZ18" s="22">
        <v>0</v>
      </c>
      <c r="BA18" s="22" t="e">
        <f t="shared" ref="BA18" si="110">MAX(AX18-AZ18,0)</f>
        <v>#REF!</v>
      </c>
      <c r="BB18" s="23" t="e">
        <f>IF(SUMPRODUCT($J$21:BA$21,$J18:BA18)&lt;0.5, "Pending", IF(BA18&lt;0.5, "Complete", "In Progress"))</f>
        <v>#REF!</v>
      </c>
      <c r="BC18" s="22">
        <v>0</v>
      </c>
      <c r="BD18" s="22" t="e">
        <f t="shared" ref="BD18" si="111">MAX(BA18-BC18,0)</f>
        <v>#REF!</v>
      </c>
      <c r="BE18" s="23" t="e">
        <f>IF(SUMPRODUCT($J$21:BD$21,$J18:BD18)&lt;0.5, "Pending", IF(BD18&lt;0.5, "Complete", "In Progress"))</f>
        <v>#REF!</v>
      </c>
      <c r="BF18" s="22">
        <v>0</v>
      </c>
      <c r="BG18" s="22" t="e">
        <f t="shared" ref="BG18" si="112">MAX(BD18-BF18,0)</f>
        <v>#REF!</v>
      </c>
      <c r="BH18" s="23" t="e">
        <f>IF(SUMPRODUCT($J$21:BG$21,$J18:BG18)&lt;0.5, "Pending", IF(BG18&lt;0.5, "Complete", "In Progress"))</f>
        <v>#REF!</v>
      </c>
      <c r="BI18" s="24"/>
      <c r="BJ18" s="25">
        <f>SUMPRODUCT($H$21:AD$21,$H18:AD18)</f>
        <v>0</v>
      </c>
    </row>
    <row r="19" spans="1:62" hidden="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4"/>
      <c r="K19" s="24"/>
      <c r="L19" s="24"/>
      <c r="M19" s="27"/>
      <c r="N19" s="27"/>
      <c r="O19" s="24"/>
      <c r="P19" s="27"/>
      <c r="Q19" s="27"/>
      <c r="R19" s="24"/>
      <c r="S19" s="27"/>
      <c r="T19" s="27"/>
      <c r="U19" s="27"/>
      <c r="V19" s="27"/>
      <c r="W19" s="27"/>
      <c r="X19" s="24"/>
      <c r="Y19" s="27"/>
      <c r="Z19" s="27"/>
      <c r="AA19" s="24"/>
      <c r="AB19" s="27"/>
      <c r="AC19" s="27"/>
      <c r="AD19" s="24"/>
      <c r="AE19" s="27"/>
      <c r="AF19" s="27"/>
      <c r="AG19" s="24"/>
      <c r="AH19" s="27"/>
      <c r="AI19" s="27"/>
      <c r="AJ19" s="24"/>
      <c r="AK19" s="27"/>
      <c r="AL19" s="27"/>
      <c r="AM19" s="24"/>
      <c r="AN19" s="27"/>
      <c r="AO19" s="27"/>
      <c r="AP19" s="24"/>
      <c r="AQ19" s="27"/>
      <c r="AR19" s="27"/>
      <c r="AS19" s="24"/>
      <c r="AT19" s="27"/>
      <c r="AU19" s="27"/>
      <c r="AV19" s="24"/>
      <c r="AW19" s="27"/>
      <c r="AX19" s="27"/>
      <c r="AY19" s="24"/>
      <c r="AZ19" s="27"/>
      <c r="BA19" s="27"/>
      <c r="BB19" s="24"/>
      <c r="BC19" s="27"/>
      <c r="BD19" s="27"/>
      <c r="BE19" s="24"/>
      <c r="BF19" s="27"/>
      <c r="BG19" s="27"/>
      <c r="BH19" s="24"/>
      <c r="BI19" s="24"/>
      <c r="BJ19" s="28">
        <f>SUMPRODUCT($H$22:AP$22,$H19:AP19)</f>
        <v>0</v>
      </c>
    </row>
    <row r="20" spans="1:62" x14ac:dyDescent="0.2">
      <c r="A20" s="29"/>
      <c r="B20" s="29"/>
      <c r="C20" s="29"/>
      <c r="D20" s="29"/>
      <c r="E20" s="29"/>
      <c r="F20" s="29"/>
      <c r="G20" s="1"/>
      <c r="H20" s="29"/>
      <c r="I20" s="29"/>
      <c r="J20" s="191" t="s">
        <v>9</v>
      </c>
      <c r="K20" s="192"/>
      <c r="L20" s="30">
        <v>1</v>
      </c>
      <c r="M20" s="193" t="s">
        <v>9</v>
      </c>
      <c r="N20" s="194"/>
      <c r="O20" s="30">
        <f>L20+1</f>
        <v>2</v>
      </c>
      <c r="P20" s="193" t="s">
        <v>9</v>
      </c>
      <c r="Q20" s="194"/>
      <c r="R20" s="30">
        <f>O20+1</f>
        <v>3</v>
      </c>
      <c r="S20" s="193" t="s">
        <v>9</v>
      </c>
      <c r="T20" s="194"/>
      <c r="U20" s="30">
        <f>R20+1</f>
        <v>4</v>
      </c>
      <c r="V20" s="193" t="s">
        <v>9</v>
      </c>
      <c r="W20" s="194"/>
      <c r="X20" s="30">
        <f>U20+1</f>
        <v>5</v>
      </c>
      <c r="Y20" s="193" t="s">
        <v>9</v>
      </c>
      <c r="Z20" s="193"/>
      <c r="AA20" s="30">
        <f>X20+1</f>
        <v>6</v>
      </c>
      <c r="AB20" s="193" t="s">
        <v>9</v>
      </c>
      <c r="AC20" s="193"/>
      <c r="AD20" s="30">
        <f>AA20+1</f>
        <v>7</v>
      </c>
      <c r="AE20" s="193" t="s">
        <v>9</v>
      </c>
      <c r="AF20" s="194"/>
      <c r="AG20" s="30" t="e">
        <f>#REF!+1</f>
        <v>#REF!</v>
      </c>
      <c r="AH20" s="193" t="s">
        <v>9</v>
      </c>
      <c r="AI20" s="194"/>
      <c r="AJ20" s="30" t="e">
        <f>AG20+1</f>
        <v>#REF!</v>
      </c>
      <c r="AK20" s="193" t="s">
        <v>9</v>
      </c>
      <c r="AL20" s="194"/>
      <c r="AM20" s="30" t="e">
        <f>AJ20+1</f>
        <v>#REF!</v>
      </c>
      <c r="AN20" s="193" t="s">
        <v>9</v>
      </c>
      <c r="AO20" s="194"/>
      <c r="AP20" s="30" t="e">
        <f>AM20+1</f>
        <v>#REF!</v>
      </c>
      <c r="AQ20" s="193" t="s">
        <v>9</v>
      </c>
      <c r="AR20" s="194"/>
      <c r="AS20" s="30" t="e">
        <f>AP20+1</f>
        <v>#REF!</v>
      </c>
      <c r="AT20" s="193" t="s">
        <v>9</v>
      </c>
      <c r="AU20" s="194"/>
      <c r="AV20" s="30" t="e">
        <f>AS20+1</f>
        <v>#REF!</v>
      </c>
      <c r="AW20" s="193" t="s">
        <v>9</v>
      </c>
      <c r="AX20" s="194"/>
      <c r="AY20" s="30" t="e">
        <f>AV20+1</f>
        <v>#REF!</v>
      </c>
      <c r="AZ20" s="193" t="s">
        <v>9</v>
      </c>
      <c r="BA20" s="194"/>
      <c r="BB20" s="30" t="e">
        <f>AY20+1</f>
        <v>#REF!</v>
      </c>
      <c r="BC20" s="193" t="s">
        <v>9</v>
      </c>
      <c r="BD20" s="194"/>
      <c r="BE20" s="30" t="e">
        <f>BB20+1</f>
        <v>#REF!</v>
      </c>
      <c r="BF20" s="193" t="s">
        <v>9</v>
      </c>
      <c r="BG20" s="194"/>
      <c r="BH20" s="30" t="e">
        <f>BE20+1</f>
        <v>#REF!</v>
      </c>
      <c r="BI20" s="30"/>
      <c r="BJ20" s="31"/>
    </row>
    <row r="21" spans="1:62" hidden="1" x14ac:dyDescent="0.2">
      <c r="A21" s="32"/>
      <c r="B21" s="32"/>
      <c r="C21" s="32"/>
      <c r="D21" s="32"/>
      <c r="E21" s="32" t="s">
        <v>11</v>
      </c>
      <c r="F21" s="32"/>
      <c r="G21" s="32"/>
      <c r="H21" s="32"/>
      <c r="I21" s="32"/>
      <c r="J21" s="155">
        <v>1</v>
      </c>
      <c r="K21" s="155">
        <v>0</v>
      </c>
      <c r="L21" s="32">
        <v>0</v>
      </c>
      <c r="M21" s="32">
        <v>1</v>
      </c>
      <c r="N21" s="32">
        <v>0</v>
      </c>
      <c r="O21" s="32">
        <v>0</v>
      </c>
      <c r="P21" s="32">
        <v>1</v>
      </c>
      <c r="Q21" s="32">
        <v>0</v>
      </c>
      <c r="R21" s="32">
        <v>0</v>
      </c>
      <c r="S21" s="32">
        <v>1</v>
      </c>
      <c r="T21" s="32">
        <v>0</v>
      </c>
      <c r="U21" s="32">
        <v>0</v>
      </c>
      <c r="V21" s="32">
        <v>1</v>
      </c>
      <c r="W21" s="32">
        <v>0</v>
      </c>
      <c r="X21" s="32">
        <v>0</v>
      </c>
      <c r="Y21" s="32">
        <v>1</v>
      </c>
      <c r="Z21" s="32">
        <v>0</v>
      </c>
      <c r="AA21" s="32">
        <v>0</v>
      </c>
      <c r="AB21" s="32">
        <v>1</v>
      </c>
      <c r="AC21" s="32">
        <v>0</v>
      </c>
      <c r="AD21" s="32">
        <v>0</v>
      </c>
      <c r="AE21" s="32">
        <v>1</v>
      </c>
      <c r="AF21" s="32">
        <v>0</v>
      </c>
      <c r="AG21" s="32">
        <v>0</v>
      </c>
      <c r="AH21" s="32">
        <v>1</v>
      </c>
      <c r="AI21" s="32">
        <v>0</v>
      </c>
      <c r="AJ21" s="32">
        <v>0</v>
      </c>
      <c r="AK21" s="32">
        <v>1</v>
      </c>
      <c r="AL21" s="32">
        <v>0</v>
      </c>
      <c r="AM21" s="32">
        <v>0</v>
      </c>
      <c r="AN21" s="32">
        <v>1</v>
      </c>
      <c r="AO21" s="32">
        <v>0</v>
      </c>
      <c r="AP21" s="32">
        <v>0</v>
      </c>
      <c r="AQ21" s="32">
        <v>1</v>
      </c>
      <c r="AR21" s="32">
        <v>0</v>
      </c>
      <c r="AS21" s="32">
        <v>0</v>
      </c>
      <c r="AT21" s="32">
        <v>1</v>
      </c>
      <c r="AU21" s="32">
        <v>0</v>
      </c>
      <c r="AV21" s="32">
        <v>0</v>
      </c>
      <c r="AW21" s="32">
        <v>1</v>
      </c>
      <c r="AX21" s="32">
        <v>0</v>
      </c>
      <c r="AY21" s="32">
        <v>0</v>
      </c>
      <c r="AZ21" s="32">
        <v>1</v>
      </c>
      <c r="BA21" s="32">
        <v>0</v>
      </c>
      <c r="BB21" s="32">
        <v>0</v>
      </c>
      <c r="BC21" s="32">
        <v>1</v>
      </c>
      <c r="BD21" s="32">
        <v>0</v>
      </c>
      <c r="BE21" s="32">
        <v>0</v>
      </c>
      <c r="BF21" s="32">
        <v>1</v>
      </c>
      <c r="BG21" s="32">
        <v>0</v>
      </c>
      <c r="BH21" s="32">
        <v>0</v>
      </c>
      <c r="BI21" s="32"/>
      <c r="BJ21" s="33"/>
    </row>
    <row r="22" spans="1:62" hidden="1" x14ac:dyDescent="0.2">
      <c r="A22" s="34"/>
      <c r="B22" s="34"/>
      <c r="C22" s="34"/>
      <c r="D22" s="34"/>
      <c r="E22" s="32" t="s">
        <v>13</v>
      </c>
      <c r="F22" s="32"/>
      <c r="G22" s="32"/>
      <c r="H22" s="32"/>
      <c r="I22" s="32"/>
      <c r="J22" s="24">
        <v>0</v>
      </c>
      <c r="K22" s="155">
        <v>1</v>
      </c>
      <c r="L22" s="32">
        <v>0</v>
      </c>
      <c r="M22" s="35">
        <v>0</v>
      </c>
      <c r="N22" s="32">
        <v>1</v>
      </c>
      <c r="O22" s="32">
        <v>0</v>
      </c>
      <c r="P22" s="35">
        <v>0</v>
      </c>
      <c r="Q22" s="32">
        <v>1</v>
      </c>
      <c r="R22" s="32">
        <v>0</v>
      </c>
      <c r="S22" s="35">
        <v>0</v>
      </c>
      <c r="T22" s="32">
        <v>1</v>
      </c>
      <c r="U22" s="32">
        <v>0</v>
      </c>
      <c r="V22" s="35">
        <v>0</v>
      </c>
      <c r="W22" s="32">
        <v>1</v>
      </c>
      <c r="X22" s="32">
        <v>0</v>
      </c>
      <c r="Y22" s="35">
        <v>0</v>
      </c>
      <c r="Z22" s="32">
        <v>1</v>
      </c>
      <c r="AA22" s="32">
        <v>0</v>
      </c>
      <c r="AB22" s="35">
        <v>0</v>
      </c>
      <c r="AC22" s="32">
        <v>1</v>
      </c>
      <c r="AD22" s="32">
        <v>0</v>
      </c>
      <c r="AE22" s="35">
        <v>0</v>
      </c>
      <c r="AF22" s="32">
        <v>1</v>
      </c>
      <c r="AG22" s="32">
        <v>0</v>
      </c>
      <c r="AH22" s="35">
        <v>0</v>
      </c>
      <c r="AI22" s="32">
        <v>1</v>
      </c>
      <c r="AJ22" s="32">
        <v>0</v>
      </c>
      <c r="AK22" s="35">
        <v>0</v>
      </c>
      <c r="AL22" s="32">
        <v>1</v>
      </c>
      <c r="AM22" s="32">
        <v>0</v>
      </c>
      <c r="AN22" s="35">
        <v>0</v>
      </c>
      <c r="AO22" s="32">
        <v>1</v>
      </c>
      <c r="AP22" s="32">
        <v>0</v>
      </c>
      <c r="AQ22" s="35">
        <v>0</v>
      </c>
      <c r="AR22" s="32">
        <v>1</v>
      </c>
      <c r="AS22" s="32">
        <v>0</v>
      </c>
      <c r="AT22" s="35">
        <v>0</v>
      </c>
      <c r="AU22" s="32">
        <v>1</v>
      </c>
      <c r="AV22" s="32">
        <v>0</v>
      </c>
      <c r="AW22" s="35">
        <v>0</v>
      </c>
      <c r="AX22" s="32">
        <v>1</v>
      </c>
      <c r="AY22" s="32">
        <v>0</v>
      </c>
      <c r="AZ22" s="35">
        <v>0</v>
      </c>
      <c r="BA22" s="32">
        <v>1</v>
      </c>
      <c r="BB22" s="32">
        <v>0</v>
      </c>
      <c r="BC22" s="35">
        <v>0</v>
      </c>
      <c r="BD22" s="32">
        <v>1</v>
      </c>
      <c r="BE22" s="32">
        <v>0</v>
      </c>
      <c r="BF22" s="35">
        <v>0</v>
      </c>
      <c r="BG22" s="32">
        <v>1</v>
      </c>
      <c r="BH22" s="32">
        <v>0</v>
      </c>
      <c r="BI22" s="32"/>
    </row>
    <row r="23" spans="1:62" hidden="1" x14ac:dyDescent="0.2">
      <c r="A23" s="32"/>
      <c r="B23" s="32"/>
      <c r="C23" s="32"/>
      <c r="D23" s="32"/>
      <c r="E23" s="36" t="s">
        <v>14</v>
      </c>
      <c r="F23" s="32"/>
      <c r="G23" s="32"/>
      <c r="H23" s="32"/>
      <c r="I23" s="32"/>
      <c r="J23" s="24">
        <v>0</v>
      </c>
      <c r="K23" s="155">
        <v>0</v>
      </c>
      <c r="L23" s="32">
        <v>1</v>
      </c>
      <c r="M23" s="35">
        <v>0</v>
      </c>
      <c r="N23" s="32">
        <v>0</v>
      </c>
      <c r="O23" s="32">
        <v>1</v>
      </c>
      <c r="P23" s="35">
        <v>0</v>
      </c>
      <c r="Q23" s="32">
        <v>0</v>
      </c>
      <c r="R23" s="32">
        <v>1</v>
      </c>
      <c r="S23" s="35">
        <v>0</v>
      </c>
      <c r="T23" s="32">
        <v>0</v>
      </c>
      <c r="U23" s="32">
        <v>1</v>
      </c>
      <c r="V23" s="35">
        <v>0</v>
      </c>
      <c r="W23" s="32">
        <v>0</v>
      </c>
      <c r="X23" s="32">
        <v>1</v>
      </c>
      <c r="Y23" s="35">
        <v>0</v>
      </c>
      <c r="Z23" s="32">
        <v>0</v>
      </c>
      <c r="AA23" s="32">
        <v>1</v>
      </c>
      <c r="AB23" s="35">
        <v>0</v>
      </c>
      <c r="AC23" s="32">
        <v>0</v>
      </c>
      <c r="AD23" s="32">
        <v>1</v>
      </c>
      <c r="AE23" s="35">
        <v>0</v>
      </c>
      <c r="AF23" s="32">
        <v>0</v>
      </c>
      <c r="AG23" s="32">
        <v>1</v>
      </c>
      <c r="AH23" s="35">
        <v>0</v>
      </c>
      <c r="AI23" s="32">
        <v>0</v>
      </c>
      <c r="AJ23" s="32">
        <v>1</v>
      </c>
      <c r="AK23" s="35">
        <v>0</v>
      </c>
      <c r="AL23" s="32">
        <v>0</v>
      </c>
      <c r="AM23" s="32">
        <v>1</v>
      </c>
      <c r="AN23" s="35">
        <v>0</v>
      </c>
      <c r="AO23" s="32">
        <v>0</v>
      </c>
      <c r="AP23" s="32">
        <v>1</v>
      </c>
      <c r="AQ23" s="35">
        <v>0</v>
      </c>
      <c r="AR23" s="32">
        <v>0</v>
      </c>
      <c r="AS23" s="32">
        <v>1</v>
      </c>
      <c r="AT23" s="35">
        <v>0</v>
      </c>
      <c r="AU23" s="32">
        <v>0</v>
      </c>
      <c r="AV23" s="32">
        <v>1</v>
      </c>
      <c r="AW23" s="35">
        <v>0</v>
      </c>
      <c r="AX23" s="32">
        <v>0</v>
      </c>
      <c r="AY23" s="32">
        <v>1</v>
      </c>
      <c r="AZ23" s="35">
        <v>0</v>
      </c>
      <c r="BA23" s="32">
        <v>0</v>
      </c>
      <c r="BB23" s="32">
        <v>1</v>
      </c>
      <c r="BC23" s="35">
        <v>0</v>
      </c>
      <c r="BD23" s="32">
        <v>0</v>
      </c>
      <c r="BE23" s="32">
        <v>1</v>
      </c>
      <c r="BF23" s="35">
        <v>0</v>
      </c>
      <c r="BG23" s="32">
        <v>0</v>
      </c>
      <c r="BH23" s="32">
        <v>1</v>
      </c>
      <c r="BI23" s="32"/>
    </row>
    <row r="24" spans="1:62" x14ac:dyDescent="0.2">
      <c r="A24" s="37">
        <v>300</v>
      </c>
      <c r="B24" s="37">
        <v>300</v>
      </c>
      <c r="C24" s="37">
        <v>300</v>
      </c>
      <c r="D24" s="37" t="s">
        <v>83</v>
      </c>
      <c r="E24" s="38" t="s">
        <v>79</v>
      </c>
      <c r="F24" s="38"/>
      <c r="G24" s="38"/>
      <c r="H24" s="38"/>
      <c r="I24" s="39">
        <f>SUBTOTAL(109,I$4:I$19)</f>
        <v>67</v>
      </c>
      <c r="J24" s="156">
        <f>SUBTOTAL(109,J$4:J$19)</f>
        <v>14</v>
      </c>
      <c r="K24" s="156">
        <f>SUBTOTAL(109,K$4:K$18)</f>
        <v>53</v>
      </c>
      <c r="L24" s="39"/>
      <c r="M24" s="39">
        <f>SUBTOTAL(109,M$4:M$19)</f>
        <v>14</v>
      </c>
      <c r="N24" s="39">
        <f>SUBTOTAL(109,N$4:N$18)</f>
        <v>39</v>
      </c>
      <c r="O24" s="39"/>
      <c r="P24" s="39">
        <f>SUBTOTAL(109,P$4:P$19)</f>
        <v>13</v>
      </c>
      <c r="Q24" s="39">
        <f>SUBTOTAL(109,Q$4:Q$18)</f>
        <v>26</v>
      </c>
      <c r="R24" s="39"/>
      <c r="S24" s="39">
        <f>SUBTOTAL(109,S$4:S$19)</f>
        <v>12</v>
      </c>
      <c r="T24" s="39">
        <f>SUBTOTAL(109,T$4:T$18)</f>
        <v>14</v>
      </c>
      <c r="U24" s="39"/>
      <c r="V24" s="39">
        <f>SUBTOTAL(109,V$4:V$19)</f>
        <v>14</v>
      </c>
      <c r="W24" s="39">
        <f>SUBTOTAL(109,W$4:W$18)</f>
        <v>0</v>
      </c>
      <c r="X24" s="39"/>
      <c r="Y24" s="39">
        <f>SUBTOTAL(109,Y$4:Y$19)</f>
        <v>0</v>
      </c>
      <c r="Z24" s="39">
        <f>SUBTOTAL(109,Z$4:Z$18)</f>
        <v>0</v>
      </c>
      <c r="AA24" s="39"/>
      <c r="AB24" s="39">
        <f>SUBTOTAL(109,AB$4:AB$19)</f>
        <v>0</v>
      </c>
      <c r="AC24" s="39">
        <f>SUBTOTAL(109,AC$4:AC$18)</f>
        <v>0</v>
      </c>
      <c r="AD24" s="39"/>
      <c r="AE24" s="39">
        <f t="shared" ref="AE24:BH24" si="113">SUBTOTAL(109,AE$4:AE$18)</f>
        <v>0</v>
      </c>
      <c r="AF24" s="39" t="e">
        <f t="shared" si="113"/>
        <v>#REF!</v>
      </c>
      <c r="AG24" s="39" t="e">
        <f t="shared" si="113"/>
        <v>#REF!</v>
      </c>
      <c r="AH24" s="39">
        <f t="shared" si="113"/>
        <v>0</v>
      </c>
      <c r="AI24" s="39" t="e">
        <f t="shared" si="113"/>
        <v>#REF!</v>
      </c>
      <c r="AJ24" s="39" t="e">
        <f t="shared" si="113"/>
        <v>#REF!</v>
      </c>
      <c r="AK24" s="39">
        <f t="shared" si="113"/>
        <v>0</v>
      </c>
      <c r="AL24" s="39" t="e">
        <f t="shared" si="113"/>
        <v>#REF!</v>
      </c>
      <c r="AM24" s="39" t="e">
        <f t="shared" si="113"/>
        <v>#REF!</v>
      </c>
      <c r="AN24" s="39">
        <f t="shared" si="113"/>
        <v>0</v>
      </c>
      <c r="AO24" s="39" t="e">
        <f t="shared" si="113"/>
        <v>#REF!</v>
      </c>
      <c r="AP24" s="39" t="e">
        <f t="shared" si="113"/>
        <v>#REF!</v>
      </c>
      <c r="AQ24" s="39">
        <f t="shared" si="113"/>
        <v>0</v>
      </c>
      <c r="AR24" s="39" t="e">
        <f t="shared" si="113"/>
        <v>#REF!</v>
      </c>
      <c r="AS24" s="39" t="e">
        <f t="shared" si="113"/>
        <v>#REF!</v>
      </c>
      <c r="AT24" s="39">
        <f t="shared" si="113"/>
        <v>0</v>
      </c>
      <c r="AU24" s="39" t="e">
        <f t="shared" si="113"/>
        <v>#REF!</v>
      </c>
      <c r="AV24" s="39" t="e">
        <f t="shared" si="113"/>
        <v>#REF!</v>
      </c>
      <c r="AW24" s="39">
        <f t="shared" si="113"/>
        <v>0</v>
      </c>
      <c r="AX24" s="39" t="e">
        <f t="shared" si="113"/>
        <v>#REF!</v>
      </c>
      <c r="AY24" s="39" t="e">
        <f t="shared" si="113"/>
        <v>#REF!</v>
      </c>
      <c r="AZ24" s="39">
        <f t="shared" si="113"/>
        <v>0</v>
      </c>
      <c r="BA24" s="39" t="e">
        <f t="shared" si="113"/>
        <v>#REF!</v>
      </c>
      <c r="BB24" s="39" t="e">
        <f t="shared" si="113"/>
        <v>#REF!</v>
      </c>
      <c r="BC24" s="39">
        <f t="shared" si="113"/>
        <v>0</v>
      </c>
      <c r="BD24" s="39" t="e">
        <f t="shared" si="113"/>
        <v>#REF!</v>
      </c>
      <c r="BE24" s="39" t="e">
        <f t="shared" si="113"/>
        <v>#REF!</v>
      </c>
      <c r="BF24" s="39">
        <f t="shared" si="113"/>
        <v>0</v>
      </c>
      <c r="BG24" s="39" t="e">
        <f t="shared" si="113"/>
        <v>#REF!</v>
      </c>
      <c r="BH24" s="39" t="e">
        <f t="shared" si="113"/>
        <v>#REF!</v>
      </c>
      <c r="BI24" s="38"/>
      <c r="BJ24" s="40"/>
    </row>
    <row r="25" spans="1:62" x14ac:dyDescent="0.2">
      <c r="A25" s="41"/>
      <c r="B25" s="41"/>
      <c r="C25" s="41"/>
      <c r="D25" s="41"/>
      <c r="E25" s="41"/>
      <c r="F25" s="41"/>
      <c r="G25" s="41"/>
      <c r="H25" s="41"/>
      <c r="I25" s="41"/>
      <c r="J25" s="157"/>
      <c r="K25" s="158"/>
      <c r="L25" s="41"/>
      <c r="M25" s="42"/>
      <c r="N25" s="41"/>
      <c r="O25" s="41"/>
      <c r="P25" s="42"/>
      <c r="Q25" s="41"/>
      <c r="R25" s="41"/>
      <c r="S25" s="42"/>
      <c r="T25" s="41"/>
      <c r="U25" s="41"/>
      <c r="V25" s="42"/>
      <c r="W25" s="41"/>
      <c r="X25" s="41"/>
      <c r="Y25" s="42"/>
      <c r="Z25" s="41"/>
      <c r="AA25" s="41"/>
      <c r="AB25" s="42"/>
      <c r="AC25" s="41"/>
      <c r="AD25" s="41"/>
      <c r="AE25" s="42"/>
      <c r="AF25" s="41"/>
      <c r="AG25" s="41"/>
      <c r="AH25" s="42"/>
      <c r="AI25" s="41"/>
      <c r="AJ25" s="41"/>
      <c r="AK25" s="42"/>
      <c r="AL25" s="41"/>
      <c r="AM25" s="41"/>
      <c r="AN25" s="42"/>
      <c r="AO25" s="41"/>
      <c r="AP25" s="41"/>
      <c r="AQ25" s="42"/>
      <c r="AR25" s="41"/>
      <c r="AS25" s="41"/>
      <c r="AT25" s="42"/>
      <c r="AU25" s="41"/>
      <c r="AV25" s="41"/>
      <c r="AW25" s="42"/>
      <c r="AX25" s="41"/>
      <c r="AY25" s="41"/>
      <c r="AZ25" s="42"/>
      <c r="BA25" s="41"/>
      <c r="BB25" s="41"/>
      <c r="BC25" s="42"/>
      <c r="BD25" s="41"/>
      <c r="BE25" s="41"/>
      <c r="BF25" s="42"/>
      <c r="BG25" s="41"/>
      <c r="BH25" s="41"/>
      <c r="BI25" s="41"/>
    </row>
    <row r="26" spans="1:62" x14ac:dyDescent="0.2">
      <c r="A26" s="41"/>
      <c r="B26" s="41"/>
      <c r="C26" s="41"/>
      <c r="D26" s="41"/>
      <c r="E26" s="41"/>
      <c r="F26" s="41"/>
      <c r="G26" s="41"/>
      <c r="H26" s="41"/>
      <c r="I26" s="41"/>
      <c r="J26" s="157"/>
      <c r="K26" s="158"/>
      <c r="L26" s="41"/>
      <c r="M26" s="42"/>
      <c r="N26" s="41"/>
      <c r="O26" s="41"/>
      <c r="P26" s="42"/>
      <c r="Q26" s="41"/>
      <c r="R26" s="41"/>
      <c r="S26" s="42"/>
      <c r="T26" s="41"/>
      <c r="U26" s="41"/>
      <c r="V26" s="42"/>
      <c r="W26" s="41"/>
      <c r="X26" s="41"/>
      <c r="Y26" s="42"/>
      <c r="Z26" s="41"/>
      <c r="AA26" s="41"/>
      <c r="AB26" s="42"/>
      <c r="AC26" s="41"/>
      <c r="AD26" s="41"/>
      <c r="AE26" s="42"/>
      <c r="AF26" s="41"/>
      <c r="AG26" s="41"/>
      <c r="AH26" s="42"/>
      <c r="AI26" s="41"/>
      <c r="AJ26" s="41"/>
      <c r="AK26" s="42"/>
      <c r="AL26" s="41"/>
      <c r="AM26" s="41"/>
      <c r="AN26" s="42"/>
      <c r="AO26" s="41"/>
      <c r="AP26" s="41"/>
      <c r="AQ26" s="42"/>
      <c r="AR26" s="41"/>
      <c r="AS26" s="41"/>
      <c r="AT26" s="42"/>
      <c r="AU26" s="41"/>
      <c r="AV26" s="41"/>
      <c r="AW26" s="42"/>
      <c r="AX26" s="41"/>
      <c r="AY26" s="41"/>
      <c r="AZ26" s="42"/>
      <c r="BA26" s="41"/>
      <c r="BB26" s="41"/>
      <c r="BC26" s="42"/>
      <c r="BD26" s="41"/>
      <c r="BE26" s="41"/>
      <c r="BF26" s="42"/>
      <c r="BG26" s="41"/>
      <c r="BH26" s="41"/>
      <c r="BI26" s="41"/>
    </row>
    <row r="27" spans="1:62" x14ac:dyDescent="0.2">
      <c r="A27" s="41"/>
      <c r="B27" s="41"/>
      <c r="C27" s="41"/>
      <c r="D27" s="41"/>
      <c r="E27" s="41"/>
      <c r="F27" s="41"/>
      <c r="G27" s="41"/>
    </row>
    <row r="28" spans="1:62" x14ac:dyDescent="0.2">
      <c r="A28" s="41"/>
      <c r="B28" s="41"/>
      <c r="C28" s="41"/>
      <c r="D28" s="41"/>
      <c r="E28" s="41"/>
      <c r="F28" s="41"/>
      <c r="G28" s="41"/>
    </row>
  </sheetData>
  <autoFilter ref="C3:BJ18"/>
  <mergeCells count="34">
    <mergeCell ref="AB20:AC20"/>
    <mergeCell ref="Y20:Z20"/>
    <mergeCell ref="AB1:AD1"/>
    <mergeCell ref="Y1:AA1"/>
    <mergeCell ref="BC1:BE1"/>
    <mergeCell ref="BC20:BD20"/>
    <mergeCell ref="BF1:BH1"/>
    <mergeCell ref="BF20:BG20"/>
    <mergeCell ref="AW1:AY1"/>
    <mergeCell ref="AW20:AX20"/>
    <mergeCell ref="AZ1:BB1"/>
    <mergeCell ref="AZ20:BA20"/>
    <mergeCell ref="AQ1:AS1"/>
    <mergeCell ref="AQ20:AR20"/>
    <mergeCell ref="AT1:AV1"/>
    <mergeCell ref="AT20:AU20"/>
    <mergeCell ref="AE1:AG1"/>
    <mergeCell ref="AE20:AF20"/>
    <mergeCell ref="AH1:AJ1"/>
    <mergeCell ref="AH20:AI20"/>
    <mergeCell ref="AK1:AM1"/>
    <mergeCell ref="AK20:AL20"/>
    <mergeCell ref="AN1:AP1"/>
    <mergeCell ref="AN20:AO20"/>
    <mergeCell ref="V1:X1"/>
    <mergeCell ref="J20:K20"/>
    <mergeCell ref="M20:N20"/>
    <mergeCell ref="P20:Q20"/>
    <mergeCell ref="S20:T20"/>
    <mergeCell ref="V20:W20"/>
    <mergeCell ref="J1:L1"/>
    <mergeCell ref="M1:O1"/>
    <mergeCell ref="P1:R1"/>
    <mergeCell ref="S1:U1"/>
  </mergeCells>
  <phoneticPr fontId="2" type="noConversion"/>
  <conditionalFormatting sqref="I24">
    <cfRule type="cellIs" dxfId="86" priority="156" stopIfTrue="1" operator="lessThan">
      <formula>C24*0.75</formula>
    </cfRule>
    <cfRule type="cellIs" dxfId="85" priority="156" stopIfTrue="1" operator="between">
      <formula>C24*0.75</formula>
      <formula>#REF!</formula>
    </cfRule>
    <cfRule type="cellIs" dxfId="84" priority="156" stopIfTrue="1" operator="greaterThan">
      <formula>C24</formula>
    </cfRule>
  </conditionalFormatting>
  <conditionalFormatting sqref="J2:J3 BF2:BF3 AW2:AW3 AZ2:AZ3 P2:P3 S2:S3 V2:V3 Y2:Y3 AB2:AB3 AE2:AE3 AH2:AH3 AK2:AK3 AN2:AN3 AQ2:AQ3 AT2:AT3 BC2:BC3 M2:M3">
    <cfRule type="expression" dxfId="83" priority="148" stopIfTrue="1">
      <formula>J$1=TODAY()+DailyScrumDateModifier</formula>
    </cfRule>
  </conditionalFormatting>
  <conditionalFormatting sqref="K2:K3 Q2:Q3 T2:T3 W2:W3 Z2:Z3 AC2:AC3 AF2:AF3 AI2:AI3 AL2:AL3 AO2:AO3 AR2:AR3 AU2:AU3 AX2:AX3 BA2:BA3 BD2:BD3 BG2:BG3 N2:N3">
    <cfRule type="expression" dxfId="82" priority="149" stopIfTrue="1">
      <formula>J$1=TODAY()+DailyScrumDateModifier</formula>
    </cfRule>
  </conditionalFormatting>
  <conditionalFormatting sqref="L2:L3 R2:R3 U2:U3 X2:X3 AA2:AA3 AD2:AD3 AG2:AG3 AJ2:AJ3 AM2:AM3 AP2:AP3 AS2:AS3 AV2:AV3 AY2:AY3 BB2:BB3 BE2:BE3 BH2:BH3 O2:O3">
    <cfRule type="expression" dxfId="81" priority="150" stopIfTrue="1">
      <formula>J$1=TODAY()+DailyScrumDateModifier</formula>
    </cfRule>
  </conditionalFormatting>
  <conditionalFormatting sqref="AE10:AE14 AH10:AH14 AK10:AK14 AN10:AN14 AQ10:AQ14 AT10:AT14 AW10:AW14 AZ10:AZ14 BC10:BC14 BF10:BF14 BF4:BF8 BC4:BC8 AZ4:AZ8 AW4:AW8 AT4:AT8 AQ4:AQ8 AN4:AN8 AK4:AK8 AH4:AH8 AE4:AE8 BF18 BC18 AZ18 AW18 AT18 AQ18 AN18 AK18 AH18 AE18 J4:J18 M4:M18 P4:P18 S4:S18 V4:V18 Y4:Y18 AB4:AB18">
    <cfRule type="expression" dxfId="80" priority="159" stopIfTrue="1">
      <formula>J$1=TODAY()+DailyScrumDateModifier</formula>
    </cfRule>
    <cfRule type="expression" dxfId="79" priority="159" stopIfTrue="1">
      <formula>MOD(ROW(),2)</formula>
    </cfRule>
  </conditionalFormatting>
  <conditionalFormatting sqref="T10:T14 K10:K14 AF10:AF14 AI10:AI14 AL10:AL14 AO10:AO14 AR10:AR14 AU10:AU14 AX10:AX14 BA10:BA14 BD10:BD14 BG10:BG14 Q10:Q14 W10:W14 Z10:Z14 AC10:AC14 N10:N14 N4:N8 AC4:AC8 Z4:Z8 W4:W8 Q4:Q8 BG4:BG8 BD4:BD8 BA4:BA8 AX4:AX8 AU4:AU8 AR4:AR8 AO4:AO8 AL4:AL8 AI4:AI8 AF4:AF8 K4:K8 T4:T8 N18 AC18 Z18 W18 Q18 BG18 BD18 BA18 AX18 AU18 AR18 AO18 AL18 AI18 AF18 K18 T18">
    <cfRule type="expression" dxfId="78" priority="161" stopIfTrue="1">
      <formula>J$1=TODAY()+DailyScrumDateModifier</formula>
    </cfRule>
    <cfRule type="expression" dxfId="77" priority="161" stopIfTrue="1">
      <formula>MOD(ROW(),2)</formula>
    </cfRule>
  </conditionalFormatting>
  <conditionalFormatting sqref="A4:E4 A12:C14 H10:I14 BJ10:BJ14 C10:C11 A5:B11 E5:E8 E10:E14 D5:D17 BJ4:BJ8 H4:I8 C5:C8 A18:E18 BJ18:BJ19 H18:I18">
    <cfRule type="expression" dxfId="76" priority="163" stopIfTrue="1">
      <formula>MOD(ROW(),2)</formula>
    </cfRule>
  </conditionalFormatting>
  <conditionalFormatting sqref="L10:L14 AA10:AA14 AD10:AD14 O10:O14 R10:R14 U10:U14 X10:X14 AG10:AG14 AJ10:AJ14 AM10:AM14 AP10:AP14 AS10:AS14 AV10:AV14 AY10:AY14 BB10:BB14 BE10:BE14 BH10:BH14 BH4:BH8 BE4:BE8 BB4:BB8 AY4:AY8 AV4:AV8 AS4:AS8 AP4:AP8 AM4:AM8 AJ4:AJ8 AG4:AG8 X4:X8 U4:U8 R4:R8 O4:O8 AD4:AD8 AA4:AA8 L4:L8 BH18 BE18 BB18 AY18 AV18 AS18 AP18 AM18 AJ18 AG18 X18 U18 R18 O18 AD18 AA18 L18">
    <cfRule type="cellIs" dxfId="75" priority="164" stopIfTrue="1" operator="equal">
      <formula>"Pending"</formula>
    </cfRule>
    <cfRule type="cellIs" dxfId="74" priority="164" stopIfTrue="1" operator="equal">
      <formula>"In Progress"</formula>
    </cfRule>
    <cfRule type="cellIs" dxfId="73" priority="164" stopIfTrue="1" operator="equal">
      <formula>"Complete"</formula>
    </cfRule>
  </conditionalFormatting>
  <conditionalFormatting sqref="J1:BH1">
    <cfRule type="expression" dxfId="72" priority="151" stopIfTrue="1">
      <formula>J$1=TODAY()+DailyScrumDateModifier</formula>
    </cfRule>
    <cfRule type="expression" dxfId="71" priority="151" stopIfTrue="1">
      <formula>J$1=TODAY()</formula>
    </cfRule>
  </conditionalFormatting>
  <conditionalFormatting sqref="J25:K26 M25:N26">
    <cfRule type="expression" dxfId="70" priority="153" stopIfTrue="1">
      <formula>"I1=TODAY()"</formula>
    </cfRule>
  </conditionalFormatting>
  <conditionalFormatting sqref="G20">
    <cfRule type="cellIs" dxfId="69" priority="154" stopIfTrue="1" operator="equal">
      <formula>"Complete"</formula>
    </cfRule>
    <cfRule type="cellIs" dxfId="68" priority="154" stopIfTrue="1" operator="equal">
      <formula>"In Progress"</formula>
    </cfRule>
  </conditionalFormatting>
  <conditionalFormatting sqref="G16 G4:G14 G18">
    <cfRule type="cellIs" dxfId="67" priority="167" stopIfTrue="1" operator="equal">
      <formula>"Complete"</formula>
    </cfRule>
    <cfRule type="cellIs" dxfId="66" priority="167" stopIfTrue="1" operator="equal">
      <formula>"In Progress"</formula>
    </cfRule>
    <cfRule type="cellIs" dxfId="65" priority="167" stopIfTrue="1" operator="equal">
      <formula>"Pending"</formula>
    </cfRule>
  </conditionalFormatting>
  <conditionalFormatting sqref="AE9 AH9 AK9 AN9 AQ9 AT9 AW9 AZ9 BC9 BF9">
    <cfRule type="expression" dxfId="64" priority="133" stopIfTrue="1">
      <formula>AE$1=TODAY()+DailyScrumDateModifier</formula>
    </cfRule>
  </conditionalFormatting>
  <conditionalFormatting sqref="T9 K9 AF9 AI9 AL9 AO9 AR9 AU9 AX9 BA9 BD9 BG9 Q9 W9 Z9 AC9 N9">
    <cfRule type="expression" dxfId="63" priority="134" stopIfTrue="1">
      <formula>J$1=TODAY()+DailyScrumDateModifier</formula>
    </cfRule>
  </conditionalFormatting>
  <conditionalFormatting sqref="C9 H9:I9 BJ9 E9">
    <cfRule type="expression" dxfId="62" priority="135" stopIfTrue="1">
      <formula>MOD(ROW(),2)</formula>
    </cfRule>
  </conditionalFormatting>
  <conditionalFormatting sqref="L9 AA9 AD9 O9 R9 U9 X9 AG9 AJ9 AM9 AP9 AS9 AV9 AY9 BB9 BE9 BH9">
    <cfRule type="cellIs" dxfId="61" priority="136" stopIfTrue="1" operator="equal">
      <formula>"Pending"</formula>
    </cfRule>
  </conditionalFormatting>
  <conditionalFormatting sqref="BF17 BC17 AZ17 AW17 AT17 AQ17 AN17 AK17 AH17 AE17">
    <cfRule type="expression" dxfId="60" priority="23" stopIfTrue="1">
      <formula>AE$1=TODAY()+DailyScrumDateModifier</formula>
    </cfRule>
    <cfRule type="expression" dxfId="59" priority="29" stopIfTrue="1">
      <formula>MOD(ROW(),2)</formula>
    </cfRule>
  </conditionalFormatting>
  <conditionalFormatting sqref="N17 AC17 Z17 W17 Q17 BG17 BD17 BA17 AX17 AU17 AR17 AO17 AL17 AI17 AF17 K17 T17">
    <cfRule type="expression" dxfId="58" priority="24" stopIfTrue="1">
      <formula>J$1=TODAY()+DailyScrumDateModifier</formula>
    </cfRule>
    <cfRule type="expression" dxfId="57" priority="28" stopIfTrue="1">
      <formula>MOD(ROW(),2)</formula>
    </cfRule>
  </conditionalFormatting>
  <conditionalFormatting sqref="BJ17 H17:I17 C17 E17">
    <cfRule type="expression" dxfId="56" priority="25" stopIfTrue="1">
      <formula>MOD(ROW(),2)</formula>
    </cfRule>
  </conditionalFormatting>
  <conditionalFormatting sqref="BH17 BE17 BB17 AY17 AV17 AS17 AP17 AM17 AJ17 AG17 X17 U17 R17 O17 AD17 AA17 L17">
    <cfRule type="cellIs" dxfId="55" priority="26" stopIfTrue="1" operator="equal">
      <formula>"In Progress"</formula>
    </cfRule>
    <cfRule type="cellIs" dxfId="54" priority="26" stopIfTrue="1" operator="equal">
      <formula>"Pending"</formula>
    </cfRule>
    <cfRule type="cellIs" dxfId="53" priority="27" stopIfTrue="1" operator="equal">
      <formula>"Complete"</formula>
    </cfRule>
  </conditionalFormatting>
  <conditionalFormatting sqref="G17">
    <cfRule type="cellIs" dxfId="52" priority="30" stopIfTrue="1" operator="equal">
      <formula>"In Progress"</formula>
    </cfRule>
    <cfRule type="cellIs" dxfId="51" priority="170" stopIfTrue="1" operator="equal">
      <formula>"Pending"</formula>
    </cfRule>
    <cfRule type="cellIs" dxfId="50" priority="170" stopIfTrue="1" operator="equal">
      <formula>"Complete"</formula>
    </cfRule>
  </conditionalFormatting>
  <conditionalFormatting sqref="BF16 BC16 AZ16 AW16 AT16 AQ16 AN16 AK16 AH16 AE16">
    <cfRule type="expression" dxfId="49" priority="12" stopIfTrue="1">
      <formula>AE$1=TODAY()+DailyScrumDateModifier</formula>
    </cfRule>
    <cfRule type="expression" dxfId="48" priority="18" stopIfTrue="1">
      <formula>MOD(ROW(),2)</formula>
    </cfRule>
  </conditionalFormatting>
  <conditionalFormatting sqref="N16 AC16 Z16 W16 Q16 BG16 BD16 BA16 AX16 AU16 AR16 AO16 AL16 AI16 AF16 K16 T16">
    <cfRule type="expression" dxfId="47" priority="13" stopIfTrue="1">
      <formula>J$1=TODAY()+DailyScrumDateModifier</formula>
    </cfRule>
    <cfRule type="expression" dxfId="46" priority="17" stopIfTrue="1">
      <formula>MOD(ROW(),2)</formula>
    </cfRule>
  </conditionalFormatting>
  <conditionalFormatting sqref="BJ16 H16:I16 C16 E16">
    <cfRule type="expression" dxfId="45" priority="14" stopIfTrue="1">
      <formula>MOD(ROW(),2)</formula>
    </cfRule>
  </conditionalFormatting>
  <conditionalFormatting sqref="BH16 BE16 BB16 AY16 AV16 AS16 AP16 AM16 AJ16 AG16 X16 U16 R16 O16 AD16 AA16 L16">
    <cfRule type="cellIs" dxfId="44" priority="15" stopIfTrue="1" operator="equal">
      <formula>"In Progress"</formula>
    </cfRule>
    <cfRule type="cellIs" dxfId="43" priority="16" stopIfTrue="1" operator="equal">
      <formula>"Complete"</formula>
    </cfRule>
  </conditionalFormatting>
  <conditionalFormatting sqref="BF15 BC15 AZ15 AW15 AT15 AQ15 AN15 AK15 AH15 AE15">
    <cfRule type="expression" dxfId="42" priority="1" stopIfTrue="1">
      <formula>AE$1=TODAY()+DailyScrumDateModifier</formula>
    </cfRule>
    <cfRule type="expression" dxfId="41" priority="7" stopIfTrue="1">
      <formula>MOD(ROW(),2)</formula>
    </cfRule>
  </conditionalFormatting>
  <conditionalFormatting sqref="N15 AC15 Z15 W15 Q15 BG15 BD15 BA15 AX15 AU15 AR15 AO15 AL15 AI15 AF15 K15 T15">
    <cfRule type="expression" dxfId="40" priority="2" stopIfTrue="1">
      <formula>J$1=TODAY()+DailyScrumDateModifier</formula>
    </cfRule>
    <cfRule type="expression" dxfId="39" priority="6" stopIfTrue="1">
      <formula>MOD(ROW(),2)</formula>
    </cfRule>
  </conditionalFormatting>
  <conditionalFormatting sqref="BJ15 H15:I15 A15:C15 A16:B17 E15">
    <cfRule type="expression" dxfId="38" priority="3" stopIfTrue="1">
      <formula>MOD(ROW(),2)</formula>
    </cfRule>
  </conditionalFormatting>
  <conditionalFormatting sqref="BH15 BE15 BB15 AY15 AV15 AS15 AP15 AM15 AJ15 AG15 X15 U15 R15 O15 AD15 AA15 L15">
    <cfRule type="cellIs" dxfId="37" priority="4" stopIfTrue="1" operator="equal">
      <formula>"Pending"</formula>
    </cfRule>
    <cfRule type="cellIs" dxfId="36" priority="4" stopIfTrue="1" operator="equal">
      <formula>"In Progress"</formula>
    </cfRule>
    <cfRule type="cellIs" dxfId="35" priority="5" stopIfTrue="1" operator="equal">
      <formula>"Complete"</formula>
    </cfRule>
  </conditionalFormatting>
  <conditionalFormatting sqref="G15">
    <cfRule type="cellIs" dxfId="34" priority="8" stopIfTrue="1" operator="equal">
      <formula>"In Progress"</formula>
    </cfRule>
    <cfRule type="cellIs" dxfId="33" priority="171" stopIfTrue="1" operator="equal">
      <formula>"Pending"</formula>
    </cfRule>
    <cfRule type="cellIs" dxfId="32" priority="171" stopIfTrue="1" operator="equal">
      <formula>"Complete"</formula>
    </cfRule>
  </conditionalFormatting>
  <dataValidations count="3">
    <dataValidation type="list" allowBlank="1" showInputMessage="1" showErrorMessage="1" sqref="F4:F18">
      <formula1>Members</formula1>
    </dataValidation>
    <dataValidation type="list" allowBlank="1" showInputMessage="1" showErrorMessage="1" sqref="A4:A18">
      <formula1>Worktype</formula1>
    </dataValidation>
    <dataValidation type="list" allowBlank="1" showInputMessage="1" showErrorMessage="1" sqref="B4:B1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51"/>
  <sheetViews>
    <sheetView topLeftCell="A4" zoomScaleNormal="100" workbookViewId="0">
      <selection activeCell="N21" sqref="N2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19" width="9.28515625" style="6" bestFit="1" customWidth="1"/>
    <col min="20" max="20" width="9.7109375" style="6" customWidth="1"/>
    <col min="21" max="25" width="9.28515625" style="6" bestFit="1" customWidth="1"/>
    <col min="26" max="16384" width="9.140625" style="6"/>
  </cols>
  <sheetData>
    <row r="1" spans="1:1" x14ac:dyDescent="0.2">
      <c r="A1" s="149"/>
    </row>
    <row r="19" spans="1:9" x14ac:dyDescent="0.2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</row>
    <row r="20" spans="1:9" x14ac:dyDescent="0.2">
      <c r="A20" s="160" t="s">
        <v>21</v>
      </c>
      <c r="B20" s="161"/>
      <c r="C20" s="162"/>
      <c r="D20" s="163"/>
      <c r="E20" s="164">
        <f>INDEX(SprintDates,1,(E19-1)*BurndownColumns+1)</f>
        <v>42723</v>
      </c>
      <c r="F20" s="164">
        <f t="shared" ref="F20:I20" si="0">INDEX(SprintDates,1,(F19-1)*BurndownColumns+1)</f>
        <v>42724</v>
      </c>
      <c r="G20" s="164">
        <f t="shared" si="0"/>
        <v>42725</v>
      </c>
      <c r="H20" s="164">
        <f t="shared" si="0"/>
        <v>42726</v>
      </c>
      <c r="I20" s="164">
        <f t="shared" si="0"/>
        <v>42727</v>
      </c>
    </row>
    <row r="21" spans="1:9" x14ac:dyDescent="0.2">
      <c r="A21" s="160"/>
      <c r="B21" s="161"/>
      <c r="C21" s="162"/>
      <c r="D21" s="163"/>
      <c r="E21" s="164"/>
      <c r="F21" s="164"/>
      <c r="G21" s="164"/>
      <c r="H21" s="164"/>
      <c r="I21" s="164"/>
    </row>
    <row r="22" spans="1:9" x14ac:dyDescent="0.2">
      <c r="A22" s="160" t="s">
        <v>8</v>
      </c>
      <c r="B22" s="162"/>
      <c r="C22" s="165"/>
      <c r="D22" s="166"/>
      <c r="E22" s="162">
        <f t="shared" ref="E22:I22" ca="1" si="1">IF(E20&gt;TODAY(), #N/A, SUM(INDEX(Burndown,,(E19-1)*BurndownColumns+HoursLeftColumn)))</f>
        <v>53</v>
      </c>
      <c r="F22" s="162">
        <f t="shared" ca="1" si="1"/>
        <v>39</v>
      </c>
      <c r="G22" s="162">
        <f t="shared" ca="1" si="1"/>
        <v>26</v>
      </c>
      <c r="H22" s="162">
        <f t="shared" ca="1" si="1"/>
        <v>14</v>
      </c>
      <c r="I22" s="162">
        <f t="shared" ca="1" si="1"/>
        <v>0</v>
      </c>
    </row>
    <row r="23" spans="1:9" x14ac:dyDescent="0.2">
      <c r="A23" s="167" t="s">
        <v>20</v>
      </c>
      <c r="B23" s="165"/>
      <c r="C23" s="165"/>
      <c r="D23" s="166"/>
      <c r="E23" s="163">
        <f t="shared" ref="E23:I23" ca="1" si="2">IF(E20&gt;TODAY(), #N/A, SUM(INDEX(Burndown,,(E19-1)*BurndownColumns+HoursSpentColumn)))</f>
        <v>14</v>
      </c>
      <c r="F23" s="163">
        <f t="shared" ca="1" si="2"/>
        <v>14</v>
      </c>
      <c r="G23" s="163">
        <f t="shared" ca="1" si="2"/>
        <v>13</v>
      </c>
      <c r="H23" s="163">
        <f t="shared" ca="1" si="2"/>
        <v>12</v>
      </c>
      <c r="I23" s="163">
        <f t="shared" ca="1" si="2"/>
        <v>14</v>
      </c>
    </row>
    <row r="24" spans="1:9" x14ac:dyDescent="0.2">
      <c r="A24" s="167" t="s">
        <v>3</v>
      </c>
      <c r="B24" s="165"/>
      <c r="C24" s="165"/>
      <c r="D24" s="166"/>
      <c r="E24" s="163">
        <f ca="1">IF(E20&gt;TODAY(), #N/A, SUM($E23:E23))</f>
        <v>14</v>
      </c>
      <c r="F24" s="163">
        <f ca="1">IF(F20&gt;TODAY(), #N/A, SUM($E23:F23))</f>
        <v>28</v>
      </c>
      <c r="G24" s="163">
        <f ca="1">IF(G20&gt;TODAY(), #N/A, SUM($E23:G23))</f>
        <v>41</v>
      </c>
      <c r="H24" s="163">
        <f ca="1">IF(H20&gt;TODAY(), #N/A, SUM($E23:H23))</f>
        <v>53</v>
      </c>
      <c r="I24" s="163">
        <f ca="1">IF(I20&gt;TODAY(), #N/A, SUM($E23:I23))</f>
        <v>67</v>
      </c>
    </row>
    <row r="25" spans="1:9" x14ac:dyDescent="0.2">
      <c r="A25" s="167" t="s">
        <v>22</v>
      </c>
      <c r="B25" s="165"/>
      <c r="C25" s="165"/>
      <c r="D25" s="166"/>
      <c r="E25" s="163">
        <f t="shared" ref="E25:I25" ca="1" si="3">IF(E20&gt;TODAY(), #N/A, E22+E24)</f>
        <v>67</v>
      </c>
      <c r="F25" s="163">
        <f t="shared" ca="1" si="3"/>
        <v>67</v>
      </c>
      <c r="G25" s="163">
        <f t="shared" ca="1" si="3"/>
        <v>67</v>
      </c>
      <c r="H25" s="163">
        <f t="shared" ca="1" si="3"/>
        <v>67</v>
      </c>
      <c r="I25" s="163">
        <f t="shared" ca="1" si="3"/>
        <v>67</v>
      </c>
    </row>
    <row r="26" spans="1:9" x14ac:dyDescent="0.2">
      <c r="A26" s="167"/>
      <c r="B26" s="165"/>
      <c r="C26" s="165"/>
      <c r="D26" s="166"/>
      <c r="E26" s="165"/>
      <c r="F26" s="165"/>
      <c r="G26" s="165"/>
      <c r="H26" s="165"/>
      <c r="I26" s="165"/>
    </row>
    <row r="27" spans="1:9" x14ac:dyDescent="0.2">
      <c r="A27" s="160" t="s">
        <v>4</v>
      </c>
      <c r="B27" s="165"/>
      <c r="C27" s="162"/>
      <c r="D27" s="166"/>
      <c r="E27" s="168">
        <f t="shared" ref="E27:I27" ca="1" si="4">IF(E20&gt;TODAY(), #N/A, E24/E19)</f>
        <v>14</v>
      </c>
      <c r="F27" s="168">
        <f t="shared" ca="1" si="4"/>
        <v>14</v>
      </c>
      <c r="G27" s="168">
        <f t="shared" ca="1" si="4"/>
        <v>13.666666666666666</v>
      </c>
      <c r="H27" s="168">
        <f t="shared" ca="1" si="4"/>
        <v>13.25</v>
      </c>
      <c r="I27" s="168">
        <f t="shared" ca="1" si="4"/>
        <v>13.4</v>
      </c>
    </row>
    <row r="28" spans="1:9" x14ac:dyDescent="0.2">
      <c r="A28" s="167" t="s">
        <v>5</v>
      </c>
      <c r="B28" s="165"/>
      <c r="C28" s="165"/>
      <c r="D28" s="166"/>
      <c r="E28" s="169">
        <f t="shared" ref="E28:I28" ca="1" si="5">IF(E20&gt;TODAY(), #N/A, IF(E27=0, SprintStart, E20 + (E22/E27)))</f>
        <v>42726.785714285717</v>
      </c>
      <c r="F28" s="169">
        <f t="shared" ca="1" si="5"/>
        <v>42726.785714285717</v>
      </c>
      <c r="G28" s="169">
        <f t="shared" ca="1" si="5"/>
        <v>42726.902439024387</v>
      </c>
      <c r="H28" s="169">
        <f t="shared" ca="1" si="5"/>
        <v>42727.056603773584</v>
      </c>
      <c r="I28" s="169">
        <f t="shared" ca="1" si="5"/>
        <v>42727</v>
      </c>
    </row>
    <row r="29" spans="1:9" x14ac:dyDescent="0.2">
      <c r="A29" s="167" t="s">
        <v>31</v>
      </c>
      <c r="B29" s="165"/>
      <c r="C29" s="165"/>
      <c r="D29" s="166"/>
      <c r="E29" s="169">
        <f t="shared" ref="E29:I29" ca="1" si="6">IF(E$20&gt;TODAY(), #N/A, IF(E$33&gt;0, SprintStart+((E$25*E$19)/E$33)-1, SprintStart))</f>
        <v>42723</v>
      </c>
      <c r="F29" s="169">
        <f t="shared" ca="1" si="6"/>
        <v>42738.75</v>
      </c>
      <c r="G29" s="169">
        <f t="shared" ca="1" si="6"/>
        <v>42728.090909090912</v>
      </c>
      <c r="H29" s="169">
        <f t="shared" ca="1" si="6"/>
        <v>42730.121212121216</v>
      </c>
      <c r="I29" s="169">
        <f t="shared" ca="1" si="6"/>
        <v>42727</v>
      </c>
    </row>
    <row r="30" spans="1:9" x14ac:dyDescent="0.2">
      <c r="A30" s="167"/>
      <c r="B30" s="165"/>
      <c r="C30" s="165"/>
      <c r="D30" s="166"/>
      <c r="E30" s="165"/>
      <c r="F30" s="165"/>
      <c r="G30" s="165"/>
      <c r="H30" s="165"/>
      <c r="I30" s="165"/>
    </row>
    <row r="31" spans="1:9" x14ac:dyDescent="0.2">
      <c r="A31" s="167" t="s">
        <v>27</v>
      </c>
      <c r="B31" s="165"/>
      <c r="C31" s="165"/>
      <c r="D31" s="166"/>
      <c r="E31" s="165">
        <f t="shared" ref="E31:I31" ca="1" si="7">IF(E$20&gt;TODAY(), #N/A, SUMIF(INDEX(Burndown,,(E$19-1)*BurndownColumns+StatusColumn), "=Pending",INDEX(Burndown,,(E$19-1)*BurndownColumns+HoursLeftColumn)))</f>
        <v>34</v>
      </c>
      <c r="F31" s="165">
        <f t="shared" ca="1" si="7"/>
        <v>34</v>
      </c>
      <c r="G31" s="165">
        <f t="shared" ca="1" si="7"/>
        <v>14</v>
      </c>
      <c r="H31" s="165">
        <f t="shared" ca="1" si="7"/>
        <v>0</v>
      </c>
      <c r="I31" s="165">
        <f t="shared" ca="1" si="7"/>
        <v>0</v>
      </c>
    </row>
    <row r="32" spans="1:9" x14ac:dyDescent="0.2">
      <c r="A32" s="167" t="s">
        <v>28</v>
      </c>
      <c r="B32" s="165"/>
      <c r="C32" s="165"/>
      <c r="D32" s="166"/>
      <c r="E32" s="170">
        <f t="shared" ref="E32:I32" ca="1" si="8">E$22-E$31+E$24-E$33</f>
        <v>33</v>
      </c>
      <c r="F32" s="170">
        <f t="shared" ca="1" si="8"/>
        <v>25</v>
      </c>
      <c r="G32" s="170">
        <f t="shared" ca="1" si="8"/>
        <v>20</v>
      </c>
      <c r="H32" s="170">
        <f t="shared" ca="1" si="8"/>
        <v>34</v>
      </c>
      <c r="I32" s="170">
        <f t="shared" ca="1" si="8"/>
        <v>0</v>
      </c>
    </row>
    <row r="33" spans="1:25" x14ac:dyDescent="0.2">
      <c r="A33" s="167" t="s">
        <v>29</v>
      </c>
      <c r="B33" s="165"/>
      <c r="C33" s="165"/>
      <c r="D33" s="166"/>
      <c r="E33" s="165">
        <f t="shared" ref="E33:I33" ca="1" si="9">IF(E$20&gt;TODAY(), #N/A, SUMIF(INDEX(Burndown,,(E$19-1)*BurndownColumns+StatusColumn), "=Complete",TotalEffort))</f>
        <v>0</v>
      </c>
      <c r="F33" s="165">
        <f t="shared" ca="1" si="9"/>
        <v>8</v>
      </c>
      <c r="G33" s="165">
        <f t="shared" ca="1" si="9"/>
        <v>33</v>
      </c>
      <c r="H33" s="165">
        <f t="shared" ca="1" si="9"/>
        <v>33</v>
      </c>
      <c r="I33" s="165">
        <f t="shared" ca="1" si="9"/>
        <v>67</v>
      </c>
    </row>
    <row r="34" spans="1:25" x14ac:dyDescent="0.2">
      <c r="A34" s="167"/>
      <c r="B34" s="165"/>
      <c r="C34" s="165"/>
      <c r="D34" s="166"/>
      <c r="E34" s="165"/>
      <c r="F34" s="165"/>
      <c r="G34" s="165"/>
      <c r="H34" s="165"/>
      <c r="I34" s="165"/>
    </row>
    <row r="35" spans="1:25" x14ac:dyDescent="0.2">
      <c r="A35" s="167" t="s">
        <v>10</v>
      </c>
      <c r="B35" s="165"/>
      <c r="C35" s="165"/>
      <c r="D35" s="166"/>
      <c r="E35" s="165">
        <f t="shared" ref="E35:I35" ca="1" si="10">IF(E20&gt;TODAY(), #N/A, COUNTIF(INDEX(Burndown,,(E19-1)*BurndownColumns+StatusColumn), "=Pending"))</f>
        <v>8</v>
      </c>
      <c r="F35" s="165">
        <f t="shared" ca="1" si="10"/>
        <v>8</v>
      </c>
      <c r="G35" s="165">
        <f t="shared" ca="1" si="10"/>
        <v>4</v>
      </c>
      <c r="H35" s="165">
        <f t="shared" ca="1" si="10"/>
        <v>1</v>
      </c>
      <c r="I35" s="165">
        <f t="shared" ca="1" si="10"/>
        <v>1</v>
      </c>
    </row>
    <row r="36" spans="1:25" x14ac:dyDescent="0.2">
      <c r="A36" s="167" t="s">
        <v>6</v>
      </c>
      <c r="B36" s="165"/>
      <c r="C36" s="165"/>
      <c r="D36" s="166"/>
      <c r="E36" s="165">
        <f t="shared" ref="E36:I36" ca="1" si="11">IF(E20&gt;TODAY(), #N/A, COUNTIF(INDEX(Burndown,,(E19-1)*BurndownColumns+StatusColumn), "=In Progress"))</f>
        <v>7</v>
      </c>
      <c r="F36" s="165">
        <f t="shared" ca="1" si="11"/>
        <v>5</v>
      </c>
      <c r="G36" s="165">
        <f t="shared" ca="1" si="11"/>
        <v>4</v>
      </c>
      <c r="H36" s="165">
        <f t="shared" ca="1" si="11"/>
        <v>7</v>
      </c>
      <c r="I36" s="165">
        <f t="shared" ca="1" si="11"/>
        <v>0</v>
      </c>
    </row>
    <row r="37" spans="1:25" x14ac:dyDescent="0.2">
      <c r="A37" s="167" t="s">
        <v>7</v>
      </c>
      <c r="B37" s="165"/>
      <c r="C37" s="165"/>
      <c r="D37" s="166"/>
      <c r="E37" s="165">
        <f t="shared" ref="E37:I37" ca="1" si="12">IF(E20&gt;TODAY(), #N/A, COUNTIF(INDEX(Burndown,,(E19-1)*BurndownColumns+StatusColumn), "=Complete"))</f>
        <v>0</v>
      </c>
      <c r="F37" s="165">
        <f t="shared" ca="1" si="12"/>
        <v>2</v>
      </c>
      <c r="G37" s="165">
        <f t="shared" ca="1" si="12"/>
        <v>7</v>
      </c>
      <c r="H37" s="165">
        <f t="shared" ca="1" si="12"/>
        <v>7</v>
      </c>
      <c r="I37" s="165">
        <f t="shared" ca="1" si="12"/>
        <v>14</v>
      </c>
    </row>
    <row r="38" spans="1:25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</row>
    <row r="39" spans="1:25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</row>
    <row r="40" spans="1:25" ht="13.5" customHeight="1" x14ac:dyDescent="0.2">
      <c r="A40" s="167"/>
      <c r="B40" s="165" t="s">
        <v>26</v>
      </c>
      <c r="C40" s="165"/>
      <c r="D40" s="165"/>
      <c r="E40" s="165">
        <v>1</v>
      </c>
      <c r="F40" s="165"/>
      <c r="G40" s="165" t="s">
        <v>80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</row>
    <row r="41" spans="1:25" ht="13.5" customHeight="1" x14ac:dyDescent="0.2">
      <c r="A41" s="167"/>
      <c r="B41" s="165" t="s">
        <v>81</v>
      </c>
      <c r="C41" s="165"/>
      <c r="D41" s="165"/>
      <c r="E41" s="165">
        <v>0</v>
      </c>
      <c r="F41" s="165"/>
      <c r="G41" s="165" t="s">
        <v>82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</row>
    <row r="42" spans="1:25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</row>
    <row r="43" spans="1:25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</row>
    <row r="44" spans="1:25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</row>
    <row r="45" spans="1:25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</row>
    <row r="46" spans="1:25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25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25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I21">
    <cfRule type="expression" dxfId="31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10" sqref="C10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42727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42723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8" t="s">
        <v>47</v>
      </c>
      <c r="C5" s="199"/>
      <c r="D5" s="199"/>
      <c r="E5" s="199"/>
      <c r="F5" s="199"/>
      <c r="G5" s="200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5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1"/>
      <c r="X6" s="202"/>
      <c r="Y6" s="202"/>
      <c r="Z6" s="202"/>
      <c r="AA6" s="202"/>
      <c r="AB6" s="203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4" t="s">
        <v>42</v>
      </c>
      <c r="X7" s="205"/>
      <c r="Y7" s="205"/>
      <c r="Z7" s="205"/>
      <c r="AA7" s="205"/>
      <c r="AB7" s="206"/>
    </row>
    <row r="8" spans="2:28" ht="13.5" thickBot="1" x14ac:dyDescent="0.25">
      <c r="B8" s="78" t="s">
        <v>37</v>
      </c>
      <c r="C8" s="79" t="e">
        <f>SUM(G8:G25)</f>
        <v>#REF!</v>
      </c>
      <c r="D8" s="80"/>
      <c r="E8" s="81" t="s">
        <v>130</v>
      </c>
      <c r="F8" s="82">
        <v>0.01</v>
      </c>
      <c r="G8" s="83">
        <v>10</v>
      </c>
      <c r="H8" s="84"/>
      <c r="I8" s="90">
        <f t="shared" ref="I8:J18" ca="1" si="2">IF(I$6&lt;$E$3,0,IF(ISBLANK($E8),0,IF(I$6&lt;$E$2,0,1)))</f>
        <v>1</v>
      </c>
      <c r="J8" s="91">
        <v>1</v>
      </c>
      <c r="K8" s="91">
        <v>1</v>
      </c>
      <c r="L8" s="91">
        <v>1</v>
      </c>
      <c r="M8" s="91">
        <v>1</v>
      </c>
      <c r="N8" s="85"/>
      <c r="O8" s="86"/>
      <c r="P8" s="90" t="e">
        <f t="shared" ref="P8:T18" si="3">IF(P$6&lt;$E$3,0,IF(ISBLANK($E8),0,IF(P$6&lt;$E$2,0,1)))</f>
        <v>#VALUE!</v>
      </c>
      <c r="Q8" s="91" t="e">
        <f t="shared" si="3"/>
        <v>#VALUE!</v>
      </c>
      <c r="R8" s="91" t="e">
        <f t="shared" si="3"/>
        <v>#VALUE!</v>
      </c>
      <c r="S8" s="91" t="e">
        <f t="shared" si="3"/>
        <v>#VALUE!</v>
      </c>
      <c r="T8" s="91" t="e">
        <f t="shared" si="3"/>
        <v>#VALUE!</v>
      </c>
      <c r="U8" s="85"/>
      <c r="V8" s="86"/>
      <c r="W8" s="195">
        <f t="shared" ref="W8:W25" ca="1" si="4">IF(E8="unassigned",0,(COUNTIF(I8:V8,1)*$C$6)*F8)</f>
        <v>0.1</v>
      </c>
      <c r="X8" s="196"/>
      <c r="Y8" s="196"/>
      <c r="Z8" s="196"/>
      <c r="AA8" s="196"/>
      <c r="AB8" s="197"/>
    </row>
    <row r="9" spans="2:28" ht="13.5" thickBot="1" x14ac:dyDescent="0.25">
      <c r="B9" s="87" t="s">
        <v>38</v>
      </c>
      <c r="C9" s="79">
        <f ca="1">SUM(W8:AB25)</f>
        <v>8.8000000000000007</v>
      </c>
      <c r="D9" s="88"/>
      <c r="E9" s="18" t="s">
        <v>132</v>
      </c>
      <c r="F9" s="82">
        <v>0.14000000000000001</v>
      </c>
      <c r="G9" s="83">
        <v>9</v>
      </c>
      <c r="H9" s="84"/>
      <c r="I9" s="90">
        <f t="shared" ca="1" si="2"/>
        <v>1</v>
      </c>
      <c r="J9" s="91">
        <v>1</v>
      </c>
      <c r="K9" s="91">
        <v>1</v>
      </c>
      <c r="L9" s="91">
        <v>1</v>
      </c>
      <c r="M9" s="91">
        <v>1</v>
      </c>
      <c r="N9" s="92"/>
      <c r="O9" s="93"/>
      <c r="P9" s="90" t="e">
        <f t="shared" si="3"/>
        <v>#VALUE!</v>
      </c>
      <c r="Q9" s="91" t="e">
        <f t="shared" si="3"/>
        <v>#VALUE!</v>
      </c>
      <c r="R9" s="91" t="e">
        <f t="shared" si="3"/>
        <v>#VALUE!</v>
      </c>
      <c r="S9" s="91" t="e">
        <f t="shared" si="3"/>
        <v>#VALUE!</v>
      </c>
      <c r="T9" s="91" t="e">
        <f t="shared" si="3"/>
        <v>#VALUE!</v>
      </c>
      <c r="U9" s="92"/>
      <c r="V9" s="93"/>
      <c r="W9" s="195">
        <f t="shared" ca="1" si="4"/>
        <v>1.4000000000000001</v>
      </c>
      <c r="X9" s="196"/>
      <c r="Y9" s="196"/>
      <c r="Z9" s="196"/>
      <c r="AA9" s="196"/>
      <c r="AB9" s="197"/>
    </row>
    <row r="10" spans="2:28" ht="13.5" thickBot="1" x14ac:dyDescent="0.25">
      <c r="B10" s="94" t="s">
        <v>39</v>
      </c>
      <c r="C10" s="95" t="e">
        <f ca="1">C8-C9</f>
        <v>#REF!</v>
      </c>
      <c r="D10" s="62"/>
      <c r="E10" s="18" t="s">
        <v>134</v>
      </c>
      <c r="F10" s="82">
        <v>0.14000000000000001</v>
      </c>
      <c r="G10" s="83">
        <v>9</v>
      </c>
      <c r="H10" s="84"/>
      <c r="I10" s="90">
        <f t="shared" ca="1" si="2"/>
        <v>1</v>
      </c>
      <c r="J10" s="91">
        <v>1</v>
      </c>
      <c r="K10" s="91">
        <v>1</v>
      </c>
      <c r="L10" s="91">
        <v>1</v>
      </c>
      <c r="M10" s="91">
        <v>1</v>
      </c>
      <c r="N10" s="92"/>
      <c r="O10" s="93"/>
      <c r="P10" s="90" t="e">
        <f t="shared" si="3"/>
        <v>#VALUE!</v>
      </c>
      <c r="Q10" s="91" t="e">
        <f t="shared" si="3"/>
        <v>#VALUE!</v>
      </c>
      <c r="R10" s="91" t="e">
        <f t="shared" si="3"/>
        <v>#VALUE!</v>
      </c>
      <c r="S10" s="91" t="e">
        <f t="shared" si="3"/>
        <v>#VALUE!</v>
      </c>
      <c r="T10" s="91" t="e">
        <f t="shared" si="3"/>
        <v>#VALUE!</v>
      </c>
      <c r="U10" s="92"/>
      <c r="V10" s="93"/>
      <c r="W10" s="195">
        <f t="shared" ca="1" si="4"/>
        <v>1.4000000000000001</v>
      </c>
      <c r="X10" s="196"/>
      <c r="Y10" s="196"/>
      <c r="Z10" s="196"/>
      <c r="AA10" s="196"/>
      <c r="AB10" s="197"/>
    </row>
    <row r="11" spans="2:28" ht="13.5" thickBot="1" x14ac:dyDescent="0.25">
      <c r="B11" s="96"/>
      <c r="D11" s="97"/>
      <c r="E11" s="18" t="s">
        <v>136</v>
      </c>
      <c r="F11" s="82">
        <v>0.15</v>
      </c>
      <c r="G11" s="83">
        <v>10</v>
      </c>
      <c r="H11" s="84"/>
      <c r="I11" s="90">
        <f t="shared" ca="1" si="2"/>
        <v>1</v>
      </c>
      <c r="J11" s="91">
        <v>1</v>
      </c>
      <c r="K11" s="91">
        <v>1</v>
      </c>
      <c r="L11" s="91">
        <v>1</v>
      </c>
      <c r="M11" s="91">
        <v>1</v>
      </c>
      <c r="N11" s="92"/>
      <c r="O11" s="93"/>
      <c r="P11" s="90" t="e">
        <f t="shared" si="3"/>
        <v>#VALUE!</v>
      </c>
      <c r="Q11" s="91" t="e">
        <f t="shared" si="3"/>
        <v>#VALUE!</v>
      </c>
      <c r="R11" s="91" t="e">
        <f t="shared" si="3"/>
        <v>#VALUE!</v>
      </c>
      <c r="S11" s="91" t="e">
        <f t="shared" si="3"/>
        <v>#VALUE!</v>
      </c>
      <c r="T11" s="91" t="e">
        <f t="shared" si="3"/>
        <v>#VALUE!</v>
      </c>
      <c r="U11" s="92"/>
      <c r="V11" s="93"/>
      <c r="W11" s="195">
        <f t="shared" ca="1" si="4"/>
        <v>1.5</v>
      </c>
      <c r="X11" s="196"/>
      <c r="Y11" s="196"/>
      <c r="Z11" s="196"/>
      <c r="AA11" s="196"/>
      <c r="AB11" s="197"/>
    </row>
    <row r="12" spans="2:28" ht="13.5" thickBot="1" x14ac:dyDescent="0.25">
      <c r="B12" s="96"/>
      <c r="D12" s="97"/>
      <c r="E12" s="18" t="s">
        <v>127</v>
      </c>
      <c r="F12" s="82">
        <v>0.15</v>
      </c>
      <c r="G12" s="83">
        <v>10</v>
      </c>
      <c r="H12" s="84"/>
      <c r="I12" s="90">
        <f t="shared" ca="1" si="2"/>
        <v>1</v>
      </c>
      <c r="J12" s="91">
        <v>1</v>
      </c>
      <c r="K12" s="91">
        <v>1</v>
      </c>
      <c r="L12" s="91">
        <v>1</v>
      </c>
      <c r="M12" s="91">
        <v>1</v>
      </c>
      <c r="N12" s="92"/>
      <c r="O12" s="93"/>
      <c r="P12" s="90" t="e">
        <f t="shared" si="3"/>
        <v>#VALUE!</v>
      </c>
      <c r="Q12" s="91" t="e">
        <f t="shared" si="3"/>
        <v>#VALUE!</v>
      </c>
      <c r="R12" s="91" t="e">
        <f t="shared" si="3"/>
        <v>#VALUE!</v>
      </c>
      <c r="S12" s="91" t="e">
        <f t="shared" si="3"/>
        <v>#VALUE!</v>
      </c>
      <c r="T12" s="91" t="e">
        <f t="shared" si="3"/>
        <v>#VALUE!</v>
      </c>
      <c r="U12" s="92"/>
      <c r="V12" s="93"/>
      <c r="W12" s="195">
        <f t="shared" ca="1" si="4"/>
        <v>1.5</v>
      </c>
      <c r="X12" s="196"/>
      <c r="Y12" s="196"/>
      <c r="Z12" s="196"/>
      <c r="AA12" s="196"/>
      <c r="AB12" s="197"/>
    </row>
    <row r="13" spans="2:28" ht="13.5" thickBot="1" x14ac:dyDescent="0.25">
      <c r="B13" s="96"/>
      <c r="D13" s="98"/>
      <c r="E13" s="18" t="s">
        <v>128</v>
      </c>
      <c r="F13" s="82">
        <v>0.14000000000000001</v>
      </c>
      <c r="G13" s="83">
        <v>9</v>
      </c>
      <c r="H13" s="84"/>
      <c r="I13" s="90">
        <f t="shared" ca="1" si="2"/>
        <v>1</v>
      </c>
      <c r="J13" s="91">
        <v>1</v>
      </c>
      <c r="K13" s="91">
        <v>1</v>
      </c>
      <c r="L13" s="91">
        <v>1</v>
      </c>
      <c r="M13" s="91">
        <v>1</v>
      </c>
      <c r="N13" s="92"/>
      <c r="O13" s="93"/>
      <c r="P13" s="90" t="e">
        <f t="shared" si="3"/>
        <v>#VALUE!</v>
      </c>
      <c r="Q13" s="91" t="e">
        <f t="shared" si="3"/>
        <v>#VALUE!</v>
      </c>
      <c r="R13" s="91" t="e">
        <f t="shared" si="3"/>
        <v>#VALUE!</v>
      </c>
      <c r="S13" s="91" t="e">
        <f t="shared" si="3"/>
        <v>#VALUE!</v>
      </c>
      <c r="T13" s="91" t="e">
        <f t="shared" si="3"/>
        <v>#VALUE!</v>
      </c>
      <c r="U13" s="92"/>
      <c r="V13" s="93"/>
      <c r="W13" s="195">
        <f t="shared" ca="1" si="4"/>
        <v>1.4000000000000001</v>
      </c>
      <c r="X13" s="196"/>
      <c r="Y13" s="196"/>
      <c r="Z13" s="196"/>
      <c r="AA13" s="196"/>
      <c r="AB13" s="197"/>
    </row>
    <row r="14" spans="2:28" ht="13.5" thickBot="1" x14ac:dyDescent="0.25">
      <c r="B14" s="96"/>
      <c r="D14" s="62"/>
      <c r="E14" s="18" t="s">
        <v>140</v>
      </c>
      <c r="F14" s="82">
        <v>0.15</v>
      </c>
      <c r="G14" s="83">
        <v>10</v>
      </c>
      <c r="H14" s="84"/>
      <c r="I14" s="90">
        <f t="shared" ca="1" si="2"/>
        <v>1</v>
      </c>
      <c r="J14" s="91">
        <v>1</v>
      </c>
      <c r="K14" s="91">
        <v>1</v>
      </c>
      <c r="L14" s="91">
        <v>1</v>
      </c>
      <c r="M14" s="91">
        <v>1</v>
      </c>
      <c r="N14" s="92"/>
      <c r="O14" s="93"/>
      <c r="P14" s="90" t="e">
        <f t="shared" si="3"/>
        <v>#VALUE!</v>
      </c>
      <c r="Q14" s="91" t="e">
        <f t="shared" si="3"/>
        <v>#VALUE!</v>
      </c>
      <c r="R14" s="91" t="e">
        <f t="shared" si="3"/>
        <v>#VALUE!</v>
      </c>
      <c r="S14" s="91" t="e">
        <f t="shared" si="3"/>
        <v>#VALUE!</v>
      </c>
      <c r="T14" s="91" t="e">
        <f t="shared" si="3"/>
        <v>#VALUE!</v>
      </c>
      <c r="U14" s="92"/>
      <c r="V14" s="93"/>
      <c r="W14" s="195">
        <f t="shared" ca="1" si="4"/>
        <v>1.5</v>
      </c>
      <c r="X14" s="196"/>
      <c r="Y14" s="196"/>
      <c r="Z14" s="196"/>
      <c r="AA14" s="196"/>
      <c r="AB14" s="197"/>
    </row>
    <row r="15" spans="2:28" ht="13.5" thickBot="1" x14ac:dyDescent="0.25">
      <c r="B15" s="96"/>
      <c r="D15" s="62"/>
      <c r="E15" s="18"/>
      <c r="F15" s="89"/>
      <c r="G15" s="83" t="e">
        <f>SUMIF(Sprint!$F$4:$F$1811,E15,Sprint!#REF!)</f>
        <v>#REF!</v>
      </c>
      <c r="H15" s="84"/>
      <c r="I15" s="90">
        <f t="shared" si="2"/>
        <v>0</v>
      </c>
      <c r="J15" s="91" t="e">
        <f t="shared" si="2"/>
        <v>#VALUE!</v>
      </c>
      <c r="K15" s="91"/>
      <c r="L15" s="91" t="e">
        <f t="shared" ref="K8:M23" si="5">IF(L$6&lt;$E$3,0,IF(ISBLANK($E15),0,IF(L$6&lt;$E$2,0,1)))</f>
        <v>#VALUE!</v>
      </c>
      <c r="M15" s="91" t="e">
        <f t="shared" si="5"/>
        <v>#VALUE!</v>
      </c>
      <c r="N15" s="92"/>
      <c r="O15" s="93"/>
      <c r="P15" s="90" t="e">
        <f t="shared" si="3"/>
        <v>#VALUE!</v>
      </c>
      <c r="Q15" s="91" t="e">
        <f t="shared" si="3"/>
        <v>#VALUE!</v>
      </c>
      <c r="R15" s="91" t="e">
        <f t="shared" si="3"/>
        <v>#VALUE!</v>
      </c>
      <c r="S15" s="91" t="e">
        <f t="shared" si="3"/>
        <v>#VALUE!</v>
      </c>
      <c r="T15" s="91" t="e">
        <f t="shared" si="3"/>
        <v>#VALUE!</v>
      </c>
      <c r="U15" s="92"/>
      <c r="V15" s="93"/>
      <c r="W15" s="195">
        <f t="shared" si="4"/>
        <v>0</v>
      </c>
      <c r="X15" s="196"/>
      <c r="Y15" s="196"/>
      <c r="Z15" s="196"/>
      <c r="AA15" s="196"/>
      <c r="AB15" s="197"/>
    </row>
    <row r="16" spans="2:28" ht="13.5" thickBot="1" x14ac:dyDescent="0.25">
      <c r="B16" s="96"/>
      <c r="D16" s="98"/>
      <c r="E16" s="18"/>
      <c r="F16" s="89"/>
      <c r="G16" s="83" t="e">
        <f>SUMIF(Sprint!$F$4:$F$1811,E16,Sprint!#REF!)</f>
        <v>#REF!</v>
      </c>
      <c r="H16" s="84"/>
      <c r="I16" s="90">
        <f t="shared" si="2"/>
        <v>0</v>
      </c>
      <c r="J16" s="91" t="e">
        <f t="shared" si="2"/>
        <v>#VALUE!</v>
      </c>
      <c r="K16" s="91" t="e">
        <f t="shared" si="5"/>
        <v>#VALUE!</v>
      </c>
      <c r="L16" s="91" t="e">
        <f t="shared" si="5"/>
        <v>#VALUE!</v>
      </c>
      <c r="M16" s="91" t="e">
        <f t="shared" si="5"/>
        <v>#VALUE!</v>
      </c>
      <c r="N16" s="92"/>
      <c r="O16" s="93"/>
      <c r="P16" s="90" t="e">
        <f t="shared" si="3"/>
        <v>#VALUE!</v>
      </c>
      <c r="Q16" s="91" t="e">
        <f t="shared" si="3"/>
        <v>#VALUE!</v>
      </c>
      <c r="R16" s="91" t="e">
        <f t="shared" si="3"/>
        <v>#VALUE!</v>
      </c>
      <c r="S16" s="91" t="e">
        <f t="shared" si="3"/>
        <v>#VALUE!</v>
      </c>
      <c r="T16" s="91" t="e">
        <f t="shared" si="3"/>
        <v>#VALUE!</v>
      </c>
      <c r="U16" s="92"/>
      <c r="V16" s="93"/>
      <c r="W16" s="195">
        <f t="shared" si="4"/>
        <v>0</v>
      </c>
      <c r="X16" s="196"/>
      <c r="Y16" s="196"/>
      <c r="Z16" s="196"/>
      <c r="AA16" s="196"/>
      <c r="AB16" s="197"/>
    </row>
    <row r="17" spans="2:28" ht="13.5" thickBot="1" x14ac:dyDescent="0.25">
      <c r="B17" s="96"/>
      <c r="D17" s="98"/>
      <c r="E17" s="18"/>
      <c r="F17" s="89"/>
      <c r="G17" s="83" t="e">
        <f>SUMIF(Sprint!$F$4:$F$1811,E17,Sprint!#REF!)</f>
        <v>#REF!</v>
      </c>
      <c r="H17" s="99"/>
      <c r="I17" s="90">
        <f t="shared" si="2"/>
        <v>0</v>
      </c>
      <c r="J17" s="91" t="e">
        <f t="shared" si="2"/>
        <v>#VALUE!</v>
      </c>
      <c r="K17" s="91" t="e">
        <f t="shared" si="5"/>
        <v>#VALUE!</v>
      </c>
      <c r="L17" s="91" t="e">
        <f t="shared" si="5"/>
        <v>#VALUE!</v>
      </c>
      <c r="M17" s="91" t="e">
        <f t="shared" si="5"/>
        <v>#VALUE!</v>
      </c>
      <c r="N17" s="92"/>
      <c r="O17" s="93"/>
      <c r="P17" s="90" t="e">
        <f t="shared" si="3"/>
        <v>#VALUE!</v>
      </c>
      <c r="Q17" s="91" t="e">
        <f t="shared" si="3"/>
        <v>#VALUE!</v>
      </c>
      <c r="R17" s="91" t="e">
        <f t="shared" si="3"/>
        <v>#VALUE!</v>
      </c>
      <c r="S17" s="91" t="e">
        <f t="shared" si="3"/>
        <v>#VALUE!</v>
      </c>
      <c r="T17" s="91" t="e">
        <f t="shared" si="3"/>
        <v>#VALUE!</v>
      </c>
      <c r="U17" s="92"/>
      <c r="V17" s="93"/>
      <c r="W17" s="195">
        <f t="shared" si="4"/>
        <v>0</v>
      </c>
      <c r="X17" s="196"/>
      <c r="Y17" s="196"/>
      <c r="Z17" s="196"/>
      <c r="AA17" s="196"/>
      <c r="AB17" s="197"/>
    </row>
    <row r="18" spans="2:28" ht="13.5" thickBot="1" x14ac:dyDescent="0.25">
      <c r="B18" s="96"/>
      <c r="D18" s="98"/>
      <c r="E18" s="18"/>
      <c r="F18" s="89"/>
      <c r="G18" s="83" t="e">
        <f>SUMIF(Sprint!$F$4:$F$1811,E18,Sprint!#REF!)</f>
        <v>#REF!</v>
      </c>
      <c r="H18" s="99"/>
      <c r="I18" s="90">
        <f t="shared" si="2"/>
        <v>0</v>
      </c>
      <c r="J18" s="91" t="e">
        <f t="shared" si="2"/>
        <v>#VALUE!</v>
      </c>
      <c r="K18" s="91" t="e">
        <f t="shared" si="5"/>
        <v>#VALUE!</v>
      </c>
      <c r="L18" s="91" t="e">
        <f t="shared" si="5"/>
        <v>#VALUE!</v>
      </c>
      <c r="M18" s="91" t="e">
        <f t="shared" si="5"/>
        <v>#VALUE!</v>
      </c>
      <c r="N18" s="92"/>
      <c r="O18" s="93"/>
      <c r="P18" s="90" t="e">
        <f t="shared" si="3"/>
        <v>#VALUE!</v>
      </c>
      <c r="Q18" s="91" t="e">
        <f t="shared" si="3"/>
        <v>#VALUE!</v>
      </c>
      <c r="R18" s="91" t="e">
        <f t="shared" si="3"/>
        <v>#VALUE!</v>
      </c>
      <c r="S18" s="91" t="e">
        <f t="shared" si="3"/>
        <v>#VALUE!</v>
      </c>
      <c r="T18" s="91" t="e">
        <f t="shared" si="3"/>
        <v>#VALUE!</v>
      </c>
      <c r="U18" s="92"/>
      <c r="V18" s="93"/>
      <c r="W18" s="195">
        <f t="shared" si="4"/>
        <v>0</v>
      </c>
      <c r="X18" s="196"/>
      <c r="Y18" s="196"/>
      <c r="Z18" s="196"/>
      <c r="AA18" s="196"/>
      <c r="AB18" s="197"/>
    </row>
    <row r="19" spans="2:28" ht="13.5" thickBot="1" x14ac:dyDescent="0.25">
      <c r="B19" s="96"/>
      <c r="D19" s="98"/>
      <c r="E19" s="18"/>
      <c r="F19" s="89"/>
      <c r="G19" s="83" t="e">
        <f>SUMIF(Sprint!$F$4:$F$1811,E19,Sprint!#REF!)</f>
        <v>#REF!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5"/>
        <v>#VALUE!</v>
      </c>
      <c r="L19" s="91" t="e">
        <f t="shared" si="5"/>
        <v>#VALUE!</v>
      </c>
      <c r="M19" s="91" t="e">
        <f t="shared" si="5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5">
        <f t="shared" si="4"/>
        <v>0</v>
      </c>
      <c r="X19" s="196"/>
      <c r="Y19" s="196"/>
      <c r="Z19" s="196"/>
      <c r="AA19" s="196"/>
      <c r="AB19" s="197"/>
    </row>
    <row r="20" spans="2:28" ht="13.5" thickBot="1" x14ac:dyDescent="0.25">
      <c r="B20" s="96"/>
      <c r="D20" s="98"/>
      <c r="E20" s="18"/>
      <c r="F20" s="89"/>
      <c r="G20" s="83" t="e">
        <f>SUMIF(Sprint!$F$4:$F$1811,E20,Sprint!#REF!)</f>
        <v>#REF!</v>
      </c>
      <c r="H20" s="99"/>
      <c r="I20" s="90">
        <f t="shared" si="6"/>
        <v>0</v>
      </c>
      <c r="J20" s="91" t="e">
        <f t="shared" si="7"/>
        <v>#VALUE!</v>
      </c>
      <c r="K20" s="91" t="e">
        <f t="shared" si="5"/>
        <v>#VALUE!</v>
      </c>
      <c r="L20" s="91" t="e">
        <f t="shared" si="5"/>
        <v>#VALUE!</v>
      </c>
      <c r="M20" s="91" t="e">
        <f t="shared" si="5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5">
        <f t="shared" si="4"/>
        <v>0</v>
      </c>
      <c r="X20" s="196"/>
      <c r="Y20" s="196"/>
      <c r="Z20" s="196"/>
      <c r="AA20" s="196"/>
      <c r="AB20" s="197"/>
    </row>
    <row r="21" spans="2:28" ht="13.5" thickBot="1" x14ac:dyDescent="0.25">
      <c r="B21" s="96"/>
      <c r="C21" s="100"/>
      <c r="D21" s="98"/>
      <c r="E21" s="18"/>
      <c r="F21" s="89"/>
      <c r="G21" s="83" t="e">
        <f>SUMIF(Sprint!$F$4:$F$1811,E21,Sprint!#REF!)</f>
        <v>#REF!</v>
      </c>
      <c r="H21" s="99"/>
      <c r="I21" s="90">
        <f t="shared" si="6"/>
        <v>0</v>
      </c>
      <c r="J21" s="91" t="e">
        <f t="shared" si="7"/>
        <v>#VALUE!</v>
      </c>
      <c r="K21" s="91" t="e">
        <f t="shared" si="5"/>
        <v>#VALUE!</v>
      </c>
      <c r="L21" s="91" t="e">
        <f t="shared" si="5"/>
        <v>#VALUE!</v>
      </c>
      <c r="M21" s="91" t="e">
        <f t="shared" si="5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5">
        <f t="shared" si="4"/>
        <v>0</v>
      </c>
      <c r="X21" s="196"/>
      <c r="Y21" s="196"/>
      <c r="Z21" s="196"/>
      <c r="AA21" s="196"/>
      <c r="AB21" s="197"/>
    </row>
    <row r="22" spans="2:28" ht="13.5" thickBot="1" x14ac:dyDescent="0.25">
      <c r="B22" s="70"/>
      <c r="C22" s="101"/>
      <c r="D22" s="98"/>
      <c r="E22" s="18"/>
      <c r="F22" s="102"/>
      <c r="G22" s="83" t="e">
        <f>SUMIF(Sprint!$F$4:$F$1811,E22,Sprint!#REF!)</f>
        <v>#REF!</v>
      </c>
      <c r="H22" s="99"/>
      <c r="I22" s="90">
        <f t="shared" si="6"/>
        <v>0</v>
      </c>
      <c r="J22" s="91" t="e">
        <f t="shared" si="7"/>
        <v>#VALUE!</v>
      </c>
      <c r="K22" s="91" t="e">
        <f t="shared" si="5"/>
        <v>#VALUE!</v>
      </c>
      <c r="L22" s="91" t="e">
        <f t="shared" si="5"/>
        <v>#VALUE!</v>
      </c>
      <c r="M22" s="91" t="e">
        <f t="shared" si="5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5">
        <f t="shared" si="4"/>
        <v>0</v>
      </c>
      <c r="X22" s="196"/>
      <c r="Y22" s="196"/>
      <c r="Z22" s="196"/>
      <c r="AA22" s="196"/>
      <c r="AB22" s="197"/>
    </row>
    <row r="23" spans="2:28" ht="13.5" thickBot="1" x14ac:dyDescent="0.25">
      <c r="B23" s="70"/>
      <c r="D23" s="98"/>
      <c r="E23" s="18"/>
      <c r="F23" s="102"/>
      <c r="G23" s="83" t="e">
        <f>SUMIF(Sprint!$F$4:$F$1811,E23,Sprint!#REF!)</f>
        <v>#REF!</v>
      </c>
      <c r="H23" s="99"/>
      <c r="I23" s="90">
        <f t="shared" si="6"/>
        <v>0</v>
      </c>
      <c r="J23" s="91" t="e">
        <f t="shared" si="7"/>
        <v>#VALUE!</v>
      </c>
      <c r="K23" s="91" t="e">
        <f t="shared" si="5"/>
        <v>#VALUE!</v>
      </c>
      <c r="L23" s="91" t="e">
        <f t="shared" si="5"/>
        <v>#VALUE!</v>
      </c>
      <c r="M23" s="91" t="e">
        <f t="shared" si="5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5">
        <f t="shared" si="4"/>
        <v>0</v>
      </c>
      <c r="X23" s="196"/>
      <c r="Y23" s="196"/>
      <c r="Z23" s="196"/>
      <c r="AA23" s="196"/>
      <c r="AB23" s="197"/>
    </row>
    <row r="24" spans="2:28" ht="13.5" thickBot="1" x14ac:dyDescent="0.25">
      <c r="B24" s="96"/>
      <c r="D24" s="98"/>
      <c r="E24" s="18"/>
      <c r="F24" s="102"/>
      <c r="G24" s="83" t="e">
        <f>SUMIF(Sprint!$F$4:$F$1811,E24,Sprint!#REF!)</f>
        <v>#REF!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5">
        <f t="shared" si="4"/>
        <v>0</v>
      </c>
      <c r="X24" s="196"/>
      <c r="Y24" s="196"/>
      <c r="Z24" s="196"/>
      <c r="AA24" s="196"/>
      <c r="AB24" s="197"/>
    </row>
    <row r="25" spans="2:28" ht="13.5" thickBot="1" x14ac:dyDescent="0.25">
      <c r="B25" s="96"/>
      <c r="D25" s="98"/>
      <c r="E25" s="103"/>
      <c r="F25" s="104"/>
      <c r="G25" s="83" t="e">
        <f>SUMIF(Sprint!$F$4:$F$1811,E25,Sprint!#REF!)</f>
        <v>#REF!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5">
        <f t="shared" si="4"/>
        <v>0</v>
      </c>
      <c r="X25" s="196"/>
      <c r="Y25" s="196"/>
      <c r="Z25" s="196"/>
      <c r="AA25" s="196"/>
      <c r="AB25" s="197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30" priority="2" stopIfTrue="1">
      <formula>G8&gt;W8</formula>
    </cfRule>
  </conditionalFormatting>
  <conditionalFormatting sqref="P8:T25 I8:M25">
    <cfRule type="cellIs" dxfId="29" priority="5" stopIfTrue="1" operator="equal">
      <formula>"H"</formula>
    </cfRule>
    <cfRule type="cellIs" dxfId="28" priority="6" stopIfTrue="1" operator="equal">
      <formula>"V"</formula>
    </cfRule>
    <cfRule type="expression" dxfId="27" priority="7" stopIfTrue="1">
      <formula>IF(I$6&lt;$E$2,1,0)</formula>
    </cfRule>
  </conditionalFormatting>
  <conditionalFormatting sqref="X30:X34 X26:X28 J32:J34 J26:J30 I26:I34 Q29 T26:W34 N8:O25 K26:O34 U8:V25 P30:S34 P26:S28">
    <cfRule type="cellIs" dxfId="26" priority="13" stopIfTrue="1" operator="equal">
      <formula>"DIO"</formula>
    </cfRule>
    <cfRule type="cellIs" dxfId="25" priority="14" stopIfTrue="1" operator="equal">
      <formula>"H"</formula>
    </cfRule>
    <cfRule type="cellIs" dxfId="24" priority="15" stopIfTrue="1" operator="equal">
      <formula>"V"</formula>
    </cfRule>
  </conditionalFormatting>
  <conditionalFormatting sqref="P6">
    <cfRule type="expression" dxfId="23" priority="21" stopIfTrue="1">
      <formula>P$6=TODAY()</formula>
    </cfRule>
    <cfRule type="expression" dxfId="22" priority="22" stopIfTrue="1">
      <formula>IF((P$6+1-$E$3)=$F$6,1,0)</formula>
    </cfRule>
  </conditionalFormatting>
  <conditionalFormatting sqref="Q6:V6 J6:O6">
    <cfRule type="expression" dxfId="21" priority="23" stopIfTrue="1">
      <formula>J$6=TODAY()</formula>
    </cfRule>
    <cfRule type="expression" dxfId="20" priority="24" stopIfTrue="1">
      <formula>IF((J$6+1-$E$3)=$F$6,1,0)</formula>
    </cfRule>
  </conditionalFormatting>
  <conditionalFormatting sqref="I6">
    <cfRule type="expression" dxfId="19" priority="25" stopIfTrue="1">
      <formula>I$6=TODAY()</formula>
    </cfRule>
    <cfRule type="expression" dxfId="18" priority="26" stopIfTrue="1">
      <formula>IF((J$6+1-$E$3)=$F$6,1,0)</formula>
    </cfRule>
  </conditionalFormatting>
  <conditionalFormatting sqref="F26:F27 F8:F21">
    <cfRule type="expression" dxfId="17" priority="1" stopIfTrue="1">
      <formula>H8&gt;X8</formula>
    </cfRule>
  </conditionalFormatting>
  <conditionalFormatting sqref="F30:F33">
    <cfRule type="expression" dxfId="16" priority="4" stopIfTrue="1">
      <formula>H28&gt;X28</formula>
    </cfRule>
  </conditionalFormatting>
  <conditionalFormatting sqref="C10">
    <cfRule type="cellIs" dxfId="15" priority="8" stopIfTrue="1" operator="greaterThan">
      <formula>0</formula>
    </cfRule>
    <cfRule type="cellIs" dxfId="14" priority="9" stopIfTrue="1" operator="lessThanOrEqual">
      <formula>0</formula>
    </cfRule>
  </conditionalFormatting>
  <conditionalFormatting sqref="C22 D14:D15 D6:D12 C6:C9">
    <cfRule type="cellIs" dxfId="13" priority="10" stopIfTrue="1" operator="equal">
      <formula>"3A"</formula>
    </cfRule>
    <cfRule type="cellIs" dxfId="12" priority="11" stopIfTrue="1" operator="equal">
      <formula>"3B"</formula>
    </cfRule>
  </conditionalFormatting>
  <conditionalFormatting sqref="G32:G34 G6">
    <cfRule type="cellIs" dxfId="11" priority="12" stopIfTrue="1" operator="equal">
      <formula>"Done"</formula>
    </cfRule>
  </conditionalFormatting>
  <conditionalFormatting sqref="I7:K7 M7:W7">
    <cfRule type="cellIs" dxfId="10" priority="16" stopIfTrue="1" operator="equal">
      <formula>"DIO"</formula>
    </cfRule>
    <cfRule type="cellIs" dxfId="9" priority="17" stopIfTrue="1" operator="equal">
      <formula>"H"</formula>
    </cfRule>
    <cfRule type="cellIs" dxfId="8" priority="18" stopIfTrue="1" operator="equal">
      <formula>"V"</formula>
    </cfRule>
  </conditionalFormatting>
  <conditionalFormatting sqref="L7">
    <cfRule type="cellIs" dxfId="7" priority="19" stopIfTrue="1" operator="equal">
      <formula>"DIO"</formula>
    </cfRule>
    <cfRule type="cellIs" dxfId="6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L20" sqref="L20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91</v>
      </c>
      <c r="D6" s="131" t="s">
        <v>84</v>
      </c>
      <c r="E6" s="132" t="s">
        <v>90</v>
      </c>
      <c r="F6" s="133" t="s">
        <v>89</v>
      </c>
      <c r="G6" s="133" t="s">
        <v>93</v>
      </c>
      <c r="H6" s="134" t="s">
        <v>92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129</v>
      </c>
      <c r="D8" s="187" t="s">
        <v>130</v>
      </c>
      <c r="E8" s="141" t="s">
        <v>87</v>
      </c>
      <c r="F8" s="142" t="s">
        <v>88</v>
      </c>
      <c r="G8" s="141" t="s">
        <v>94</v>
      </c>
      <c r="H8" s="141" t="s">
        <v>85</v>
      </c>
    </row>
    <row r="9" spans="2:8" ht="15" x14ac:dyDescent="0.25">
      <c r="C9" s="140" t="s">
        <v>131</v>
      </c>
      <c r="D9" s="187" t="s">
        <v>132</v>
      </c>
      <c r="E9" s="141" t="s">
        <v>87</v>
      </c>
      <c r="F9" s="142" t="s">
        <v>88</v>
      </c>
      <c r="G9" s="141" t="s">
        <v>94</v>
      </c>
      <c r="H9" s="141" t="s">
        <v>85</v>
      </c>
    </row>
    <row r="10" spans="2:8" ht="11.25" customHeight="1" x14ac:dyDescent="0.2">
      <c r="C10" s="140" t="s">
        <v>133</v>
      </c>
      <c r="D10" s="188" t="s">
        <v>134</v>
      </c>
      <c r="E10" s="141" t="s">
        <v>87</v>
      </c>
      <c r="F10" s="142" t="s">
        <v>88</v>
      </c>
      <c r="G10" s="141" t="s">
        <v>94</v>
      </c>
      <c r="H10" s="141" t="s">
        <v>85</v>
      </c>
    </row>
    <row r="11" spans="2:8" x14ac:dyDescent="0.2">
      <c r="C11" s="140" t="s">
        <v>135</v>
      </c>
      <c r="D11" s="189" t="s">
        <v>136</v>
      </c>
      <c r="E11" s="141" t="s">
        <v>87</v>
      </c>
      <c r="F11" s="142" t="s">
        <v>88</v>
      </c>
      <c r="G11" s="141" t="s">
        <v>94</v>
      </c>
      <c r="H11" s="141" t="s">
        <v>85</v>
      </c>
    </row>
    <row r="12" spans="2:8" x14ac:dyDescent="0.2">
      <c r="C12" s="140" t="s">
        <v>137</v>
      </c>
      <c r="D12" s="189" t="s">
        <v>127</v>
      </c>
      <c r="E12" s="141" t="s">
        <v>87</v>
      </c>
      <c r="F12" s="142" t="s">
        <v>88</v>
      </c>
      <c r="G12" s="141" t="s">
        <v>94</v>
      </c>
      <c r="H12" s="141" t="s">
        <v>85</v>
      </c>
    </row>
    <row r="13" spans="2:8" x14ac:dyDescent="0.2">
      <c r="C13" s="140" t="s">
        <v>138</v>
      </c>
      <c r="D13" s="188" t="s">
        <v>128</v>
      </c>
      <c r="E13" s="141" t="s">
        <v>87</v>
      </c>
      <c r="F13" s="142" t="s">
        <v>88</v>
      </c>
      <c r="G13" s="141" t="s">
        <v>94</v>
      </c>
      <c r="H13" s="141" t="s">
        <v>85</v>
      </c>
    </row>
    <row r="14" spans="2:8" x14ac:dyDescent="0.2">
      <c r="C14" s="140" t="s">
        <v>139</v>
      </c>
      <c r="D14" s="188" t="s">
        <v>140</v>
      </c>
      <c r="E14" s="141" t="s">
        <v>87</v>
      </c>
      <c r="F14" s="142" t="s">
        <v>88</v>
      </c>
      <c r="G14" s="141" t="s">
        <v>94</v>
      </c>
      <c r="H14" s="141" t="s">
        <v>85</v>
      </c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3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97</v>
      </c>
      <c r="B1" s="173"/>
    </row>
    <row r="2" spans="1:3" ht="15" x14ac:dyDescent="0.25">
      <c r="A2" s="174" t="s">
        <v>98</v>
      </c>
      <c r="B2" s="175">
        <f>COUNTIF(Sprint!$A$4:$A$49, "Feature")</f>
        <v>9</v>
      </c>
      <c r="C2" s="181">
        <f>B2/$B$6</f>
        <v>0.6428571428571429</v>
      </c>
    </row>
    <row r="3" spans="1:3" ht="15" x14ac:dyDescent="0.25">
      <c r="A3" s="174" t="s">
        <v>99</v>
      </c>
      <c r="B3" s="175">
        <f>COUNTIF(Sprint!$A$4:$A$49, "Tax")</f>
        <v>0</v>
      </c>
      <c r="C3" s="181">
        <f t="shared" ref="C3:C5" si="0">B3/$B$6</f>
        <v>0</v>
      </c>
    </row>
    <row r="4" spans="1:3" ht="15" x14ac:dyDescent="0.25">
      <c r="A4" s="174" t="s">
        <v>100</v>
      </c>
      <c r="B4" s="175">
        <f>COUNTIF(Sprint!$A$4:$A$49, "Precondition")</f>
        <v>3</v>
      </c>
      <c r="C4" s="181">
        <f t="shared" si="0"/>
        <v>0.21428571428571427</v>
      </c>
    </row>
    <row r="5" spans="1:3" ht="15" x14ac:dyDescent="0.25">
      <c r="A5" s="174" t="s">
        <v>101</v>
      </c>
      <c r="B5" s="175">
        <f>COUNTIF(Sprint!$A$4:$A$49, "Spike")</f>
        <v>2</v>
      </c>
      <c r="C5" s="181">
        <f t="shared" si="0"/>
        <v>0.14285714285714285</v>
      </c>
    </row>
    <row r="6" spans="1:3" ht="15" x14ac:dyDescent="0.25">
      <c r="A6" s="176" t="s">
        <v>121</v>
      </c>
      <c r="B6" s="182">
        <f>SUM(B2:B5)</f>
        <v>14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102</v>
      </c>
      <c r="B8" s="175"/>
    </row>
    <row r="9" spans="1:3" ht="15" x14ac:dyDescent="0.25">
      <c r="A9" s="174" t="s">
        <v>103</v>
      </c>
      <c r="B9" s="175">
        <f>COUNTIF(Sprint!$B$4:$B$166, "Data Model")</f>
        <v>0</v>
      </c>
      <c r="C9" s="181">
        <f>B9/$B$25</f>
        <v>0</v>
      </c>
    </row>
    <row r="10" spans="1:3" ht="15" x14ac:dyDescent="0.25">
      <c r="A10" s="174" t="s">
        <v>104</v>
      </c>
      <c r="B10" s="175">
        <f>COUNTIF(Sprint!$B$4:$B$166, "Integration Model")</f>
        <v>0</v>
      </c>
      <c r="C10" s="181">
        <f>B10/$B$25</f>
        <v>0</v>
      </c>
    </row>
    <row r="11" spans="1:3" ht="15" x14ac:dyDescent="0.25">
      <c r="A11" s="174" t="s">
        <v>105</v>
      </c>
      <c r="B11" s="175">
        <f>COUNTIF(Sprint!$B$4:$B$166, "System Frameworks")</f>
        <v>0</v>
      </c>
      <c r="C11" s="181">
        <f>B11/$B$25</f>
        <v>0</v>
      </c>
    </row>
    <row r="12" spans="1:3" ht="15" x14ac:dyDescent="0.25">
      <c r="A12" s="174" t="s">
        <v>106</v>
      </c>
      <c r="B12" s="175">
        <f>COUNTIF(Sprint!$B$4:$B$166, "Data Conversions")</f>
        <v>0</v>
      </c>
      <c r="C12" s="181">
        <f t="shared" ref="C12:C24" si="1">B12/$B$25</f>
        <v>0</v>
      </c>
    </row>
    <row r="13" spans="1:3" ht="15" x14ac:dyDescent="0.25">
      <c r="A13" s="174" t="s">
        <v>107</v>
      </c>
      <c r="B13" s="175">
        <f>COUNTIF(Sprint!$B$4:$B$166, "Security")</f>
        <v>0</v>
      </c>
      <c r="C13" s="181">
        <f t="shared" si="1"/>
        <v>0</v>
      </c>
    </row>
    <row r="14" spans="1:3" ht="15" x14ac:dyDescent="0.25">
      <c r="A14" s="174" t="s">
        <v>108</v>
      </c>
      <c r="B14" s="175">
        <f>COUNTIF(Sprint!$B$4:$B$166, "Cash Payment Tracking")</f>
        <v>0</v>
      </c>
      <c r="C14" s="181">
        <f t="shared" si="1"/>
        <v>0</v>
      </c>
    </row>
    <row r="15" spans="1:3" ht="15" x14ac:dyDescent="0.25">
      <c r="A15" s="174" t="s">
        <v>109</v>
      </c>
      <c r="B15" s="175">
        <f>COUNTIF(Sprint!$B$4:$B$166, "Views")</f>
        <v>0</v>
      </c>
      <c r="C15" s="181">
        <f t="shared" si="1"/>
        <v>0</v>
      </c>
    </row>
    <row r="16" spans="1:3" ht="15" x14ac:dyDescent="0.25">
      <c r="A16" s="174" t="s">
        <v>110</v>
      </c>
      <c r="B16" s="175">
        <f>COUNTIF(Sprint!$B$4:$B$166, "Lookups")</f>
        <v>3</v>
      </c>
      <c r="C16" s="181">
        <f t="shared" si="1"/>
        <v>0.21428571428571427</v>
      </c>
    </row>
    <row r="17" spans="1:3" ht="15" x14ac:dyDescent="0.25">
      <c r="A17" s="174" t="s">
        <v>111</v>
      </c>
      <c r="B17" s="175">
        <f>COUNTIF(Sprint!$B$4:$B$166, "Detail screens")</f>
        <v>0</v>
      </c>
      <c r="C17" s="181">
        <f t="shared" si="1"/>
        <v>0</v>
      </c>
    </row>
    <row r="18" spans="1:3" ht="15" x14ac:dyDescent="0.25">
      <c r="A18" s="174" t="s">
        <v>112</v>
      </c>
      <c r="B18" s="175">
        <f>COUNTIF(Sprint!$B$4:$B$166, "Notifications")</f>
        <v>0</v>
      </c>
      <c r="C18" s="181">
        <f t="shared" si="1"/>
        <v>0</v>
      </c>
    </row>
    <row r="19" spans="1:3" ht="15" x14ac:dyDescent="0.25">
      <c r="A19" s="174" t="s">
        <v>113</v>
      </c>
      <c r="B19" s="175">
        <f>COUNTIF(Sprint!$B$4:$B$166, "Reports")</f>
        <v>0</v>
      </c>
      <c r="C19" s="181">
        <f t="shared" si="1"/>
        <v>0</v>
      </c>
    </row>
    <row r="20" spans="1:3" ht="15" x14ac:dyDescent="0.25">
      <c r="A20" s="174" t="s">
        <v>114</v>
      </c>
      <c r="B20" s="175">
        <f>COUNTIF(Sprint!$B$4:$B$166, "Installation Package")</f>
        <v>0</v>
      </c>
      <c r="C20" s="181">
        <f t="shared" si="1"/>
        <v>0</v>
      </c>
    </row>
    <row r="21" spans="1:3" ht="15" x14ac:dyDescent="0.25">
      <c r="A21" s="174" t="s">
        <v>115</v>
      </c>
      <c r="B21" s="175">
        <f>COUNTIF(Sprint!$B$4:$B$166, "Deployment")</f>
        <v>9</v>
      </c>
      <c r="C21" s="181">
        <f t="shared" si="1"/>
        <v>0.6428571428571429</v>
      </c>
    </row>
    <row r="22" spans="1:3" ht="15" x14ac:dyDescent="0.25">
      <c r="A22" s="174" t="s">
        <v>116</v>
      </c>
      <c r="B22" s="175">
        <f>COUNTIF(Sprint!$B$4:$B$166, "Documentation")</f>
        <v>0</v>
      </c>
      <c r="C22" s="181">
        <f t="shared" si="1"/>
        <v>0</v>
      </c>
    </row>
    <row r="23" spans="1:3" ht="15" x14ac:dyDescent="0.25">
      <c r="A23" s="174" t="s">
        <v>117</v>
      </c>
      <c r="B23" s="175">
        <f>COUNTIF(Sprint!$B$4:$B$166, "Testing")</f>
        <v>2</v>
      </c>
      <c r="C23" s="181">
        <f t="shared" si="1"/>
        <v>0.14285714285714285</v>
      </c>
    </row>
    <row r="24" spans="1:3" ht="15" x14ac:dyDescent="0.25">
      <c r="A24" s="174" t="s">
        <v>118</v>
      </c>
      <c r="B24" s="175">
        <f>COUNTIF(Sprint!$B$4:$B$166, "Project Mgt")</f>
        <v>0</v>
      </c>
      <c r="C24" s="181">
        <f t="shared" si="1"/>
        <v>0</v>
      </c>
    </row>
    <row r="25" spans="1:3" ht="15" x14ac:dyDescent="0.25">
      <c r="A25" s="176" t="s">
        <v>121</v>
      </c>
      <c r="B25" s="180">
        <f>SUM(B9:B24)</f>
        <v>14</v>
      </c>
      <c r="C25" s="181">
        <f>SUM(C9:C24)</f>
        <v>1</v>
      </c>
    </row>
    <row r="27" spans="1:3" ht="15" x14ac:dyDescent="0.25">
      <c r="A27" s="179" t="s">
        <v>120</v>
      </c>
    </row>
    <row r="28" spans="1:3" ht="15" x14ac:dyDescent="0.25">
      <c r="A28" s="174" t="s">
        <v>122</v>
      </c>
      <c r="B28" s="175">
        <f ca="1">COUNTIF(Sprint!$G$4:$G$49, "Complete")</f>
        <v>14</v>
      </c>
      <c r="C28" s="181">
        <f ca="1">B28/$B$33</f>
        <v>0.93333333333333335</v>
      </c>
    </row>
    <row r="29" spans="1:3" ht="15" x14ac:dyDescent="0.25">
      <c r="A29" s="174" t="s">
        <v>123</v>
      </c>
      <c r="B29" s="175">
        <f ca="1">COUNTIF(Sprint!$G$4:$G$49,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124</v>
      </c>
      <c r="B30" s="175">
        <f ca="1">COUNTIF(Sprint!$G$4:$G$49, "Pending")</f>
        <v>1</v>
      </c>
      <c r="C30" s="181">
        <f t="shared" ca="1" si="2"/>
        <v>6.6666666666666666E-2</v>
      </c>
    </row>
    <row r="31" spans="1:3" ht="15" x14ac:dyDescent="0.25">
      <c r="A31" s="174" t="s">
        <v>119</v>
      </c>
      <c r="B31" s="175">
        <f ca="1">COUNTIF(Sprint!$G$4:$G$49, "Postponed")</f>
        <v>0</v>
      </c>
      <c r="C31" s="181">
        <f t="shared" ca="1" si="2"/>
        <v>0</v>
      </c>
    </row>
    <row r="32" spans="1:3" ht="15" x14ac:dyDescent="0.25">
      <c r="A32" s="179" t="s">
        <v>125</v>
      </c>
      <c r="B32" s="175">
        <f ca="1">COUNTIF(Sprint!$G$4:$G$49, "Cancelled")</f>
        <v>0</v>
      </c>
      <c r="C32" s="181">
        <f t="shared" ca="1" si="2"/>
        <v>0</v>
      </c>
    </row>
    <row r="33" spans="1:3" ht="15" x14ac:dyDescent="0.25">
      <c r="A33" s="184" t="s">
        <v>121</v>
      </c>
      <c r="B33" s="185">
        <f ca="1">SUM(B28:B32)</f>
        <v>15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2016-12-23T20:58:20Z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b67c9da1-9267-483c-b360-44df572f671f</vt:lpwstr>
  </property>
</Properties>
</file>