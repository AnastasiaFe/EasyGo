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 activeTab="4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Sprint!$C$3:$CE$23</definedName>
    <definedName name="Burndown" localSheetId="1">Sprint!$J$4:$CD$18</definedName>
    <definedName name="Burndown">Sprint!$J$4:$CD$18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Sprint!$CE$4:$CE$18</definedName>
    <definedName name="TotalEffort">Sprint!$CE$4:$CE$18</definedName>
    <definedName name="Worktype">'Project Specific Reports'!$A$2:$A$5</definedName>
    <definedName name="_xlnm.Print_Area" localSheetId="2">Capacity!$A$4:$S$22</definedName>
  </definedNames>
  <calcPr calcId="145621"/>
</workbook>
</file>

<file path=xl/calcChain.xml><?xml version="1.0" encoding="utf-8"?>
<calcChain xmlns="http://schemas.openxmlformats.org/spreadsheetml/2006/main">
  <c r="Y22" i="7" l="1"/>
  <c r="AB22" i="7"/>
  <c r="AE22" i="7" l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L17" i="7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L16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L15" i="7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L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L11" i="7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L10" i="7"/>
  <c r="BA9" i="7"/>
  <c r="BD9" i="7" s="1"/>
  <c r="BG9" i="7" s="1"/>
  <c r="BJ9" i="7" s="1"/>
  <c r="BM9" i="7" s="1"/>
  <c r="BP9" i="7" s="1"/>
  <c r="BS9" i="7" s="1"/>
  <c r="BV9" i="7" s="1"/>
  <c r="BY9" i="7" s="1"/>
  <c r="CB9" i="7" s="1"/>
  <c r="L9" i="7"/>
  <c r="BA8" i="7"/>
  <c r="BD8" i="7" s="1"/>
  <c r="BG8" i="7" s="1"/>
  <c r="BJ8" i="7" s="1"/>
  <c r="BM8" i="7" s="1"/>
  <c r="BP8" i="7" s="1"/>
  <c r="BS8" i="7" s="1"/>
  <c r="BV8" i="7" s="1"/>
  <c r="BY8" i="7" s="1"/>
  <c r="CB8" i="7" s="1"/>
  <c r="L8" i="7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5" i="7"/>
  <c r="BD5" i="7" s="1"/>
  <c r="BG5" i="7" s="1"/>
  <c r="BJ5" i="7" s="1"/>
  <c r="BM5" i="7" s="1"/>
  <c r="BP5" i="7" s="1"/>
  <c r="BS5" i="7" s="1"/>
  <c r="BV5" i="7" s="1"/>
  <c r="BY5" i="7" s="1"/>
  <c r="CB5" i="7" s="1"/>
  <c r="L5" i="7" l="1"/>
  <c r="L12" i="7"/>
  <c r="N5" i="7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AH22" i="7" l="1"/>
  <c r="Q5" i="7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O13" i="7"/>
  <c r="O7" i="7"/>
  <c r="R7" i="7" s="1"/>
  <c r="U7" i="7" s="1"/>
  <c r="O5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O6" i="7"/>
  <c r="O16" i="7"/>
  <c r="O11" i="7"/>
  <c r="W13" i="7" l="1"/>
  <c r="Z13" i="7" s="1"/>
  <c r="AC13" i="7" s="1"/>
  <c r="AF13" i="7" s="1"/>
  <c r="AI13" i="7" s="1"/>
  <c r="AL13" i="7" s="1"/>
  <c r="AO13" i="7" s="1"/>
  <c r="AR13" i="7" s="1"/>
  <c r="AU13" i="7" s="1"/>
  <c r="AX13" i="7" s="1"/>
  <c r="AK22" i="7"/>
  <c r="R17" i="7"/>
  <c r="U17" i="7" s="1"/>
  <c r="R15" i="7"/>
  <c r="U15" i="7" s="1"/>
  <c r="X15" i="7" s="1"/>
  <c r="AA15" i="7" s="1"/>
  <c r="R13" i="7"/>
  <c r="U13" i="7" s="1"/>
  <c r="R5" i="7"/>
  <c r="U5" i="7" s="1"/>
  <c r="U14" i="7"/>
  <c r="R11" i="7"/>
  <c r="U11" i="7" s="1"/>
  <c r="U12" i="7"/>
  <c r="X8" i="7"/>
  <c r="U10" i="7"/>
  <c r="X10" i="7" s="1"/>
  <c r="G18" i="7"/>
  <c r="U9" i="7"/>
  <c r="X9" i="7" s="1"/>
  <c r="X7" i="7"/>
  <c r="R6" i="7"/>
  <c r="R16" i="7"/>
  <c r="AA7" i="7" l="1"/>
  <c r="AD7" i="7" s="1"/>
  <c r="AA9" i="7"/>
  <c r="AD15" i="7"/>
  <c r="AA10" i="7"/>
  <c r="AD10" i="7" s="1"/>
  <c r="AA8" i="7"/>
  <c r="X5" i="7"/>
  <c r="AA5" i="7" s="1"/>
  <c r="X13" i="7"/>
  <c r="AA13" i="7" s="1"/>
  <c r="X11" i="7"/>
  <c r="X14" i="7"/>
  <c r="U6" i="7"/>
  <c r="X17" i="7"/>
  <c r="X12" i="7"/>
  <c r="AA12" i="7" s="1"/>
  <c r="U16" i="7"/>
  <c r="AD13" i="7" l="1"/>
  <c r="AG13" i="7" s="1"/>
  <c r="AJ13" i="7" s="1"/>
  <c r="AN22" i="7"/>
  <c r="AD12" i="7"/>
  <c r="AA11" i="7"/>
  <c r="AD11" i="7" s="1"/>
  <c r="AD9" i="7"/>
  <c r="AG9" i="7" s="1"/>
  <c r="AJ9" i="7" s="1"/>
  <c r="AD8" i="7"/>
  <c r="AG10" i="7"/>
  <c r="AJ10" i="7" s="1"/>
  <c r="AM10" i="7" s="1"/>
  <c r="AP10" i="7" s="1"/>
  <c r="AS10" i="7" s="1"/>
  <c r="AV10" i="7" s="1"/>
  <c r="AY10" i="7" s="1"/>
  <c r="AG15" i="7"/>
  <c r="AD5" i="7"/>
  <c r="AG5" i="7" s="1"/>
  <c r="AA17" i="7"/>
  <c r="AD17" i="7" s="1"/>
  <c r="AG17" i="7" s="1"/>
  <c r="AJ17" i="7" s="1"/>
  <c r="AM17" i="7" s="1"/>
  <c r="AP17" i="7" s="1"/>
  <c r="AS17" i="7" s="1"/>
  <c r="AV17" i="7" s="1"/>
  <c r="AY17" i="7" s="1"/>
  <c r="AG7" i="7"/>
  <c r="AJ7" i="7" s="1"/>
  <c r="AM7" i="7" s="1"/>
  <c r="AP7" i="7" s="1"/>
  <c r="AS7" i="7" s="1"/>
  <c r="AV7" i="7" s="1"/>
  <c r="AY7" i="7" s="1"/>
  <c r="AA14" i="7"/>
  <c r="AD14" i="7" s="1"/>
  <c r="AG14" i="7" s="1"/>
  <c r="AJ14" i="7" s="1"/>
  <c r="AM14" i="7" s="1"/>
  <c r="AP14" i="7" s="1"/>
  <c r="AS14" i="7" s="1"/>
  <c r="AV14" i="7" s="1"/>
  <c r="AY14" i="7" s="1"/>
  <c r="X6" i="7"/>
  <c r="AA6" i="7" s="1"/>
  <c r="AD6" i="7" s="1"/>
  <c r="AG6" i="7" s="1"/>
  <c r="AJ6" i="7" s="1"/>
  <c r="AM6" i="7" s="1"/>
  <c r="AP6" i="7" s="1"/>
  <c r="AS6" i="7" s="1"/>
  <c r="AV6" i="7" s="1"/>
  <c r="AY6" i="7" s="1"/>
  <c r="X16" i="7"/>
  <c r="AA16" i="7" s="1"/>
  <c r="AD16" i="7" s="1"/>
  <c r="AG16" i="7" s="1"/>
  <c r="AJ16" i="7" s="1"/>
  <c r="AM16" i="7" s="1"/>
  <c r="AP16" i="7" s="1"/>
  <c r="AS16" i="7" s="1"/>
  <c r="AV16" i="7" s="1"/>
  <c r="AY16" i="7" s="1"/>
  <c r="AG12" i="7" l="1"/>
  <c r="AJ12" i="7" s="1"/>
  <c r="AM12" i="7" s="1"/>
  <c r="AM13" i="7"/>
  <c r="AJ5" i="7"/>
  <c r="AM5" i="7" s="1"/>
  <c r="AP5" i="7" s="1"/>
  <c r="AS5" i="7" s="1"/>
  <c r="AV5" i="7" s="1"/>
  <c r="AY5" i="7" s="1"/>
  <c r="AM9" i="7"/>
  <c r="AP9" i="7" s="1"/>
  <c r="AS9" i="7" s="1"/>
  <c r="AG11" i="7"/>
  <c r="AJ11" i="7" s="1"/>
  <c r="AM11" i="7" s="1"/>
  <c r="AG8" i="7"/>
  <c r="AJ8" i="7" s="1"/>
  <c r="AM8" i="7" s="1"/>
  <c r="AP8" i="7" s="1"/>
  <c r="AS8" i="7" s="1"/>
  <c r="AV8" i="7" s="1"/>
  <c r="AJ15" i="7"/>
  <c r="AM15" i="7" s="1"/>
  <c r="CE7" i="7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T14" i="7"/>
  <c r="BW14" i="7" s="1"/>
  <c r="BZ14" i="7" s="1"/>
  <c r="CC14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P12" i="7" l="1"/>
  <c r="AS12" i="7" s="1"/>
  <c r="AV12" i="7" s="1"/>
  <c r="AY12" i="7" s="1"/>
  <c r="AP13" i="7"/>
  <c r="AS13" i="7" s="1"/>
  <c r="AV13" i="7" s="1"/>
  <c r="AP15" i="7"/>
  <c r="AS15" i="7" s="1"/>
  <c r="AV15" i="7" s="1"/>
  <c r="AY15" i="7" s="1"/>
  <c r="AP11" i="7"/>
  <c r="AS11" i="7" s="1"/>
  <c r="AV11" i="7" s="1"/>
  <c r="AY11" i="7" s="1"/>
  <c r="AY8" i="7"/>
  <c r="BZ8" i="7" s="1"/>
  <c r="CC8" i="7" s="1"/>
  <c r="AV9" i="7"/>
  <c r="AY9" i="7" s="1"/>
  <c r="G6" i="7"/>
  <c r="G14" i="7"/>
  <c r="G15" i="7"/>
  <c r="G11" i="7"/>
  <c r="G7" i="7"/>
  <c r="CE5" i="7"/>
  <c r="BT15" i="7"/>
  <c r="BW15" i="7" s="1"/>
  <c r="BZ15" i="7" s="1"/>
  <c r="CC15" i="7" s="1"/>
  <c r="CE10" i="7"/>
  <c r="BB16" i="7"/>
  <c r="BE16" i="7" s="1"/>
  <c r="BH16" i="7" s="1"/>
  <c r="CE16" i="7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BN15" i="7" l="1"/>
  <c r="BQ15" i="7" s="1"/>
  <c r="BB8" i="7"/>
  <c r="BE8" i="7" s="1"/>
  <c r="BH8" i="7" s="1"/>
  <c r="BB15" i="7"/>
  <c r="BE15" i="7" s="1"/>
  <c r="BH15" i="7" s="1"/>
  <c r="BK15" i="7" s="1"/>
  <c r="BT8" i="7"/>
  <c r="BW8" i="7" s="1"/>
  <c r="CC9" i="7"/>
  <c r="BB9" i="7"/>
  <c r="BE9" i="7" s="1"/>
  <c r="BH9" i="7" s="1"/>
  <c r="CE9" i="7"/>
  <c r="CE8" i="7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AY13" i="7"/>
  <c r="CE13" i="7" s="1"/>
  <c r="AQ22" i="7"/>
  <c r="CE11" i="7"/>
  <c r="CE15" i="7"/>
  <c r="BE10" i="7"/>
  <c r="BH10" i="7" s="1"/>
  <c r="G10" i="7" s="1"/>
  <c r="BB10" i="7"/>
  <c r="BK10" i="7"/>
  <c r="BN10" i="7" s="1"/>
  <c r="BQ10" i="7" s="1"/>
  <c r="BT10" i="7" s="1"/>
  <c r="BW10" i="7" s="1"/>
  <c r="BZ10" i="7" s="1"/>
  <c r="CC10" i="7"/>
  <c r="G5" i="7"/>
  <c r="BK8" i="7"/>
  <c r="BN8" i="7" s="1"/>
  <c r="BQ8" i="7" s="1"/>
  <c r="G8" i="7"/>
  <c r="BK16" i="7"/>
  <c r="BN16" i="7" s="1"/>
  <c r="BQ16" i="7" s="1"/>
  <c r="BT16" i="7" s="1"/>
  <c r="BW16" i="7" s="1"/>
  <c r="BZ16" i="7" s="1"/>
  <c r="CC16" i="7" s="1"/>
  <c r="G16" i="7"/>
  <c r="G17" i="7"/>
  <c r="BK9" i="7"/>
  <c r="BN9" i="7" s="1"/>
  <c r="BQ9" i="7" s="1"/>
  <c r="BT9" i="7" s="1"/>
  <c r="BW9" i="7" s="1"/>
  <c r="BZ9" i="7" s="1"/>
  <c r="G9" i="7"/>
  <c r="BB13" i="7"/>
  <c r="BE13" i="7" s="1"/>
  <c r="BH13" i="7" s="1"/>
  <c r="BQ12" i="7"/>
  <c r="BT12" i="7" s="1"/>
  <c r="BW12" i="7" s="1"/>
  <c r="BZ12" i="7" s="1"/>
  <c r="BK13" i="7" l="1"/>
  <c r="BN13" i="7" s="1"/>
  <c r="BQ13" i="7" s="1"/>
  <c r="BT13" i="7" s="1"/>
  <c r="BW13" i="7" s="1"/>
  <c r="BZ13" i="7" s="1"/>
  <c r="CC13" i="7" s="1"/>
  <c r="G13" i="7"/>
  <c r="CE12" i="7"/>
  <c r="BK12" i="7"/>
  <c r="BN12" i="7" s="1"/>
  <c r="BB12" i="7"/>
  <c r="BE12" i="7"/>
  <c r="BH12" i="7" s="1"/>
  <c r="G12" i="7" s="1"/>
  <c r="CC12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G1" i="7"/>
  <c r="E2" i="6"/>
  <c r="D2" i="6" s="1"/>
  <c r="D3" i="6"/>
  <c r="I6" i="6" s="1"/>
  <c r="J1" i="7"/>
  <c r="M1" i="7" s="1"/>
  <c r="J22" i="7"/>
  <c r="A19" i="8"/>
  <c r="CE18" i="7"/>
  <c r="I24" i="7"/>
  <c r="M22" i="7"/>
  <c r="P22" i="7"/>
  <c r="S22" i="7"/>
  <c r="V22" i="7"/>
  <c r="AZ22" i="7"/>
  <c r="BC22" i="7"/>
  <c r="BF22" i="7"/>
  <c r="BI22" i="7"/>
  <c r="BL22" i="7"/>
  <c r="BO22" i="7"/>
  <c r="BR22" i="7"/>
  <c r="BU22" i="7"/>
  <c r="BX22" i="7"/>
  <c r="CA22" i="7"/>
  <c r="AZ1" i="7"/>
  <c r="BC1" i="7" s="1"/>
  <c r="BF1" i="7" s="1"/>
  <c r="BI1" i="7" s="1"/>
  <c r="BL1" i="7" s="1"/>
  <c r="BO1" i="7" s="1"/>
  <c r="BR1" i="7" s="1"/>
  <c r="BU1" i="7" s="1"/>
  <c r="BX1" i="7" s="1"/>
  <c r="CA1" i="7" s="1"/>
  <c r="AT22" i="7" l="1"/>
  <c r="L4" i="7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22" i="7"/>
  <c r="BD22" i="7"/>
  <c r="N4" i="7"/>
  <c r="Q4" i="7" s="1"/>
  <c r="T4" i="7" s="1"/>
  <c r="W4" i="7" s="1"/>
  <c r="BG22" i="7"/>
  <c r="K22" i="7"/>
  <c r="I9" i="6"/>
  <c r="I10" i="6"/>
  <c r="I12" i="6"/>
  <c r="J6" i="6"/>
  <c r="I8" i="6"/>
  <c r="I13" i="6"/>
  <c r="I11" i="6"/>
  <c r="I14" i="6"/>
  <c r="E20" i="8"/>
  <c r="P1" i="7"/>
  <c r="F20" i="8"/>
  <c r="AW22" i="7" l="1"/>
  <c r="E36" i="8"/>
  <c r="C8" i="6"/>
  <c r="Z4" i="7"/>
  <c r="C25" i="9"/>
  <c r="N22" i="7"/>
  <c r="O4" i="7"/>
  <c r="R4" i="7" s="1"/>
  <c r="BJ22" i="7"/>
  <c r="E23" i="8"/>
  <c r="E24" i="8" s="1"/>
  <c r="E22" i="8"/>
  <c r="E31" i="8"/>
  <c r="E37" i="8"/>
  <c r="E35" i="8"/>
  <c r="K6" i="6"/>
  <c r="S1" i="7"/>
  <c r="G20" i="8"/>
  <c r="F23" i="8"/>
  <c r="F22" i="8"/>
  <c r="AC4" i="7" l="1"/>
  <c r="Z22" i="7"/>
  <c r="F36" i="8"/>
  <c r="Q22" i="7"/>
  <c r="F31" i="8"/>
  <c r="W22" i="7"/>
  <c r="T22" i="7"/>
  <c r="F37" i="8"/>
  <c r="F35" i="8"/>
  <c r="U4" i="7"/>
  <c r="F24" i="8"/>
  <c r="F27" i="8" s="1"/>
  <c r="F28" i="8" s="1"/>
  <c r="BM22" i="7"/>
  <c r="L6" i="6"/>
  <c r="V1" i="7"/>
  <c r="Y1" i="7" s="1"/>
  <c r="AB1" i="7" s="1"/>
  <c r="AE1" i="7" s="1"/>
  <c r="AH1" i="7" s="1"/>
  <c r="AK1" i="7" s="1"/>
  <c r="AN1" i="7" s="1"/>
  <c r="AQ1" i="7" s="1"/>
  <c r="AT1" i="7" s="1"/>
  <c r="AW1" i="7" s="1"/>
  <c r="H20" i="8"/>
  <c r="G22" i="8"/>
  <c r="G23" i="8"/>
  <c r="G24" i="8" s="1"/>
  <c r="E25" i="8"/>
  <c r="E27" i="8"/>
  <c r="E28" i="8" s="1"/>
  <c r="AF4" i="7" l="1"/>
  <c r="AC22" i="7"/>
  <c r="F25" i="8"/>
  <c r="G36" i="8"/>
  <c r="G37" i="8"/>
  <c r="G35" i="8"/>
  <c r="G31" i="8"/>
  <c r="X4" i="7"/>
  <c r="BP22" i="7"/>
  <c r="G25" i="8"/>
  <c r="M6" i="6"/>
  <c r="I20" i="8"/>
  <c r="G27" i="8"/>
  <c r="G28" i="8" s="1"/>
  <c r="H23" i="8"/>
  <c r="H24" i="8" s="1"/>
  <c r="H27" i="8" s="1"/>
  <c r="H22" i="8"/>
  <c r="AA4" i="7" l="1"/>
  <c r="AD4" i="7" s="1"/>
  <c r="AG4" i="7" s="1"/>
  <c r="AI4" i="7"/>
  <c r="AF22" i="7"/>
  <c r="H25" i="8"/>
  <c r="H37" i="8"/>
  <c r="H36" i="8"/>
  <c r="H31" i="8"/>
  <c r="H35" i="8"/>
  <c r="H28" i="8"/>
  <c r="BS22" i="7"/>
  <c r="I37" i="8"/>
  <c r="I23" i="8"/>
  <c r="I24" i="8" s="1"/>
  <c r="I27" i="8" s="1"/>
  <c r="I22" i="8"/>
  <c r="I31" i="8"/>
  <c r="AJ4" i="7" l="1"/>
  <c r="AL4" i="7"/>
  <c r="AI22" i="7"/>
  <c r="I35" i="8"/>
  <c r="I36" i="8"/>
  <c r="I28" i="8"/>
  <c r="BV22" i="7"/>
  <c r="N11" i="6"/>
  <c r="N8" i="6"/>
  <c r="N10" i="6"/>
  <c r="N13" i="6"/>
  <c r="N14" i="6"/>
  <c r="N12" i="6"/>
  <c r="N9" i="6"/>
  <c r="I25" i="8"/>
  <c r="AO4" i="7" l="1"/>
  <c r="AL22" i="7"/>
  <c r="AM4" i="7"/>
  <c r="CB22" i="7"/>
  <c r="BY22" i="7"/>
  <c r="C9" i="6"/>
  <c r="C10" i="6" s="1"/>
  <c r="AR4" i="7" l="1"/>
  <c r="AO22" i="7"/>
  <c r="AP4" i="7"/>
  <c r="AU4" i="7" l="1"/>
  <c r="AR22" i="7"/>
  <c r="AS4" i="7"/>
  <c r="AX4" i="7" l="1"/>
  <c r="AU22" i="7"/>
  <c r="AV4" i="7"/>
  <c r="G4" i="7"/>
  <c r="AX22" i="7" l="1"/>
  <c r="AY4" i="7"/>
  <c r="BB4" i="7" s="1"/>
  <c r="BE4" i="7" s="1"/>
  <c r="BH4" i="7" s="1"/>
  <c r="BK4" i="7" s="1"/>
  <c r="BN4" i="7" s="1"/>
  <c r="BQ4" i="7" s="1"/>
  <c r="BT4" i="7" s="1"/>
  <c r="BW4" i="7" s="1"/>
  <c r="BZ4" i="7" s="1"/>
  <c r="CC4" i="7" s="1"/>
  <c r="B30" i="9"/>
  <c r="B29" i="9"/>
  <c r="B31" i="9"/>
  <c r="B32" i="9"/>
  <c r="B28" i="9"/>
  <c r="CE4" i="7" l="1"/>
  <c r="B33" i="9"/>
  <c r="C28" i="9" s="1"/>
  <c r="C29" i="9" l="1"/>
  <c r="C30" i="9"/>
  <c r="C32" i="9"/>
  <c r="C31" i="9"/>
  <c r="I33" i="8"/>
  <c r="I29" i="8" s="1"/>
  <c r="G33" i="8"/>
  <c r="G32" i="8" s="1"/>
  <c r="H33" i="8"/>
  <c r="E33" i="8"/>
  <c r="F33" i="8"/>
  <c r="BB22" i="7"/>
  <c r="I32" i="8" l="1"/>
  <c r="C33" i="9"/>
  <c r="G29" i="8"/>
  <c r="H29" i="8"/>
  <c r="H32" i="8"/>
  <c r="E29" i="8"/>
  <c r="E32" i="8"/>
  <c r="F29" i="8"/>
  <c r="F32" i="8"/>
  <c r="BE22" i="7"/>
  <c r="BH22" i="7" l="1"/>
  <c r="BK22" i="7" l="1"/>
  <c r="BN22" i="7" l="1"/>
  <c r="BQ22" i="7" l="1"/>
  <c r="BT22" i="7" l="1"/>
  <c r="BW22" i="7" l="1"/>
  <c r="BZ22" i="7" l="1"/>
  <c r="CC22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<sst xmlns="http://schemas.openxmlformats.org/spreadsheetml/2006/main" count="295" uniqueCount="158">
  <si>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</si>
  <si>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</si>
  <si>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</si>
  <si>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</si>
  <si>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</si>
  <si>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</si>
  <si>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</si>
  <si>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</si>
  <si>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</si>
  <si>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</si>
  <si>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</si>
  <si>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</si>
  <si>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</si>
  <si>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</si>
  <si>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</si>
  <si>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</si>
  <si>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</si>
  <si>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</si>
  <si>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</si>
  <si>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</si>
  <si>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</si>
  <si>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</si>
  <si>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</si>
  <si>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</si>
  <si>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</si>
  <si>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</si>
  <si>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</si>
  <si>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</si>
  <si>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</si>
  <si>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</si>
  <si>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</si>
  <si>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</si>
  <si>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</si>
  <si>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</si>
  <si>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</si>
  <si>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</si>
  <si>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</si>
  <si>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</si>
  <si>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</si>
  <si>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</si>
  <si>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</si>
  <si>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</si>
  <si>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</si>
  <si>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</si>
  <si>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</si>
  <si>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</si>
  <si>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.</t>
  </si>
  <si>
    <t>v</t>
  </si>
  <si>
    <t>Vacation &amp; Public Holiday</t>
  </si>
  <si>
    <t>%age of time on Project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</si>
  <si>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</si>
  <si>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</si>
  <si>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</si>
  <si>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</si>
  <si>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</si>
  <si>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</si>
  <si>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</si>
  <si>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</si>
  <si>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</si>
  <si>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</si>
  <si>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</si>
  <si>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</si>
  <si>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</si>
  <si>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</si>
  <si>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</si>
  <si>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</si>
  <si>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</si>
  <si>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</si>
  <si>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</si>
  <si>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</si>
  <si>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</si>
  <si>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</si>
  <si>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</si>
  <si>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</si>
  <si>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</si>
  <si>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</si>
  <si>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</si>
  <si>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</si>
  <si>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</si>
  <si>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</si>
  <si>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</si>
  <si>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</si>
  <si>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</si>
  <si>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</si>
  <si>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</si>
  <si>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</si>
  <si>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</si>
  <si>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</si>
  <si>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</si>
  <si>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</si>
  <si>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</si>
  <si>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</si>
  <si>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</si>
  <si>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</si>
  <si>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</si>
  <si>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</si>
  <si>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</si>
  <si>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</si>
  <si>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</si>
  <si>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</si>
  <si>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</si>
  <si>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</si>
  <si>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</si>
  <si>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</si>
  <si>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</si>
  <si>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</si>
  <si>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</si>
  <si>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</si>
  <si>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</si>
  <si>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</si>
  <si>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</si>
  <si>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</si>
  <si>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</si>
  <si>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</si>
  <si>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</si>
  <si>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</si>
  <si>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</si>
  <si>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</si>
  <si>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</si>
  <si>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</si>
  <si>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</si>
  <si>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</si>
  <si>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</si>
  <si>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</si>
  <si>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</si>
  <si>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</si>
  <si>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</si>
  <si>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</si>
  <si>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</si>
  <si>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</si>
  <si>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</si>
  <si>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</si>
  <si>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</si>
  <si>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</si>
  <si>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</si>
  <si>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</si>
  <si>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</si>
  <si>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</si>
  <si>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</si>
  <si>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</si>
  <si>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</si>
  <si>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</si>
  <si>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kamyanskiy.i@gmail.com</t>
  </si>
  <si>
    <t>внедрение иконок в приложение</t>
  </si>
  <si>
    <t>написание тест-кейсов</t>
  </si>
  <si>
    <t>написание баг-репорта</t>
  </si>
  <si>
    <t>локализация</t>
  </si>
  <si>
    <t>создание справки</t>
  </si>
  <si>
    <t>наполнение базы данных информацией</t>
  </si>
  <si>
    <t>реффакторинг кода</t>
  </si>
  <si>
    <t>тестирование юзабилити</t>
  </si>
  <si>
    <t>улучшение юзабилити</t>
  </si>
  <si>
    <t>заполнение документации</t>
  </si>
  <si>
    <t>рисование иконок</t>
  </si>
  <si>
    <t>рефакторинг кода</t>
  </si>
  <si>
    <t>Как пользователь системы, я хочу прочитать справку, чтобы понимать, как воспользоваться той или иной функцией этой системы</t>
  </si>
  <si>
    <t>Как пользователь системы я хочу видеть иконки основных функций, чтобы пользоваться системой быстрее</t>
  </si>
  <si>
    <t>Как пользователь системы, я хочу чтобы язык интерфейса менялся в зависимости от языка интерефейса моего телефона, чтобы лучше понимать как пользоваться этой системой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</si>
</sst>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7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18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0" xfId="0" applyFont="1" applyFill="1" applyBorder="1"/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7" borderId="25" xfId="0" applyFont="1" applyFill="1" applyBorder="1"/>
    <xf numFmtId="0" fontId="25" fillId="27" borderId="26" xfId="0" applyFont="1" applyFill="1" applyBorder="1"/>
    <xf numFmtId="0" fontId="36" fillId="27" borderId="0" xfId="0" applyFont="1" applyFill="1" applyBorder="1" applyAlignment="1">
      <alignment horizontal="center"/>
    </xf>
    <xf numFmtId="0" fontId="36" fillId="27" borderId="24" xfId="0" applyFont="1" applyFill="1" applyBorder="1" applyAlignment="1">
      <alignment horizontal="center"/>
    </xf>
    <xf numFmtId="0" fontId="21" fillId="21" borderId="33" xfId="0" applyFont="1" applyFill="1" applyBorder="1"/>
    <xf numFmtId="0" fontId="21" fillId="21" borderId="34" xfId="0" applyFont="1" applyFill="1" applyBorder="1"/>
    <xf numFmtId="0" fontId="25" fillId="21" borderId="34" xfId="0" applyFont="1" applyFill="1" applyBorder="1"/>
    <xf numFmtId="0" fontId="25" fillId="21" borderId="35" xfId="0" applyFont="1" applyFill="1" applyBorder="1"/>
    <xf numFmtId="0" fontId="25" fillId="21" borderId="33" xfId="0" applyFont="1" applyFill="1" applyBorder="1"/>
    <xf numFmtId="0" fontId="25" fillId="27" borderId="34" xfId="0" applyFont="1" applyFill="1" applyBorder="1"/>
    <xf numFmtId="0" fontId="25" fillId="28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29" borderId="36" xfId="0" applyFont="1" applyFill="1" applyBorder="1" applyAlignment="1">
      <alignment horizontal="center"/>
    </xf>
    <xf numFmtId="0" fontId="33" fillId="29" borderId="37" xfId="0" applyFont="1" applyFill="1" applyBorder="1" applyAlignment="1">
      <alignment horizontal="left"/>
    </xf>
    <xf numFmtId="0" fontId="33" fillId="29" borderId="38" xfId="0" applyFont="1" applyFill="1" applyBorder="1" applyAlignment="1">
      <alignment horizontal="center"/>
    </xf>
    <xf numFmtId="0" fontId="33" fillId="29" borderId="39" xfId="0" applyFont="1" applyFill="1" applyBorder="1" applyAlignment="1">
      <alignment horizontal="center"/>
    </xf>
    <xf numFmtId="0" fontId="33" fillId="29" borderId="40" xfId="0" applyFont="1" applyFill="1" applyBorder="1" applyAlignment="1">
      <alignment horizontal="center"/>
    </xf>
    <xf numFmtId="0" fontId="33" fillId="29" borderId="41" xfId="0" applyFont="1" applyFill="1" applyBorder="1" applyAlignment="1">
      <alignment horizontal="center"/>
    </xf>
    <xf numFmtId="0" fontId="33" fillId="29" borderId="42" xfId="0" applyFont="1" applyFill="1" applyBorder="1" applyAlignment="1">
      <alignment horizontal="left"/>
    </xf>
    <xf numFmtId="0" fontId="33" fillId="29" borderId="42" xfId="0" applyFont="1" applyFill="1" applyBorder="1" applyAlignment="1">
      <alignment horizontal="center"/>
    </xf>
    <xf numFmtId="0" fontId="33" fillId="29" borderId="43" xfId="0" applyFont="1" applyFill="1" applyBorder="1" applyAlignment="1">
      <alignment horizontal="center"/>
    </xf>
    <xf numFmtId="0" fontId="33" fillId="29" borderId="44" xfId="0" applyFont="1" applyFill="1" applyBorder="1" applyAlignment="1">
      <alignment horizontal="center"/>
    </xf>
    <xf numFmtId="0" fontId="21" fillId="29" borderId="45" xfId="0" applyFont="1" applyFill="1" applyBorder="1" applyAlignment="1">
      <alignment horizontal="left"/>
    </xf>
    <xf numFmtId="0" fontId="21" fillId="29" borderId="46" xfId="0" applyFont="1" applyFill="1" applyBorder="1" applyAlignment="1">
      <alignment horizontal="left"/>
    </xf>
    <xf numFmtId="0" fontId="21" fillId="29" borderId="47" xfId="0" applyFont="1" applyFill="1" applyBorder="1" applyAlignment="1">
      <alignment horizontal="left"/>
    </xf>
    <xf numFmtId="0" fontId="21" fillId="0" borderId="48" xfId="0" applyFont="1" applyFill="1" applyBorder="1"/>
    <xf numFmtId="0" fontId="21" fillId="0" borderId="49" xfId="0" applyFont="1" applyFill="1" applyBorder="1" applyAlignment="1">
      <alignment horizontal="left" vertical="top"/>
    </xf>
    <xf numFmtId="0" fontId="21" fillId="0" borderId="50" xfId="0" applyFont="1" applyFill="1" applyBorder="1" applyAlignment="1">
      <alignment horizontal="left"/>
    </xf>
    <xf numFmtId="0" fontId="21" fillId="0" borderId="50" xfId="36" applyFont="1" applyFill="1" applyBorder="1" applyAlignment="1" applyProtection="1">
      <alignment horizontal="left" wrapText="1"/>
    </xf>
    <xf numFmtId="0" fontId="21" fillId="0" borderId="51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0" borderId="11" xfId="36" applyFont="1" applyFill="1" applyBorder="1" applyAlignment="1" applyProtection="1"/>
    <xf numFmtId="0" fontId="1" fillId="0" borderId="11" xfId="36" applyBorder="1" applyAlignment="1" applyProtection="1"/>
    <xf numFmtId="0" fontId="1" fillId="30" borderId="11" xfId="36" applyFill="1" applyBorder="1" applyAlignment="1" applyProtection="1"/>
    <xf numFmtId="1" fontId="21" fillId="22" borderId="0" xfId="0" applyNumberFormat="1" applyFont="1" applyFill="1" applyBorder="1"/>
    <xf numFmtId="164" fontId="24" fillId="20" borderId="0" xfId="0" applyNumberFormat="1" applyFont="1" applyFill="1" applyAlignment="1">
      <alignment horizontal="center" vertic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55" xfId="0" applyNumberFormat="1" applyFont="1" applyFill="1" applyBorder="1" applyAlignment="1">
      <alignment horizontal="center"/>
    </xf>
    <xf numFmtId="0" fontId="36" fillId="27" borderId="52" xfId="0" applyFont="1" applyFill="1" applyBorder="1" applyAlignment="1">
      <alignment horizontal="center"/>
    </xf>
    <xf numFmtId="0" fontId="36" fillId="27" borderId="53" xfId="0" applyFont="1" applyFill="1" applyBorder="1" applyAlignment="1">
      <alignment horizontal="center"/>
    </xf>
    <xf numFmtId="0" fontId="36" fillId="27" borderId="54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0" fillId="31" borderId="10" xfId="0" applyFill="1" applyBorder="1"/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79"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78"/>
      <tableStyleElement type="headerRow" dxfId="77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Analysis!$E$19:$I$19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Analysis!$E$37:$I$37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7</c:v>
                </c:pt>
                <c:pt idx="4">
                  <c:v>14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Analysis!$E$19:$I$19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Analysis!$E$36:$I$36</c:f>
              <c:numCache>
                <c:formatCode>General</c:formatCode>
                <c:ptCount val="5"/>
                <c:pt idx="0">
                  <c:v>7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Analysis!$E$35:$I$35</c:f>
              <c:numCache>
                <c:formatCode>General</c:formatCode>
                <c:ptCount val="5"/>
                <c:pt idx="0">
                  <c:v>7</c:v>
                </c:pt>
                <c:pt idx="1">
                  <c:v>7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28000"/>
        <c:axId val="84267520"/>
      </c:areaChart>
      <c:catAx>
        <c:axId val="91328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842675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842675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13280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Analysis!$E$19:$I$19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Analysis!$E$33:$I$33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35</c:v>
                </c:pt>
                <c:pt idx="4">
                  <c:v>70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Analysis!$E$19:$I$19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Analysis!$E$32:$I$32</c:f>
              <c:numCache>
                <c:formatCode>0</c:formatCode>
                <c:ptCount val="5"/>
                <c:pt idx="0">
                  <c:v>35</c:v>
                </c:pt>
                <c:pt idx="1">
                  <c:v>35</c:v>
                </c:pt>
                <c:pt idx="2">
                  <c:v>30</c:v>
                </c:pt>
                <c:pt idx="3">
                  <c:v>34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Analysis!$E$19:$I$19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Analysis!$E$31:$I$31</c:f>
              <c:numCache>
                <c:formatCode>General</c:formatCode>
                <c:ptCount val="5"/>
                <c:pt idx="0">
                  <c:v>34</c:v>
                </c:pt>
                <c:pt idx="1">
                  <c:v>34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278976"/>
        <c:axId val="84270400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Analysis!$E$19:$I$19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Analysis!$E$22:$I$22</c:f>
              <c:numCache>
                <c:formatCode>General</c:formatCode>
                <c:ptCount val="5"/>
                <c:pt idx="0">
                  <c:v>56</c:v>
                </c:pt>
                <c:pt idx="1">
                  <c:v>41</c:v>
                </c:pt>
                <c:pt idx="2">
                  <c:v>26</c:v>
                </c:pt>
                <c:pt idx="3">
                  <c:v>13</c:v>
                </c:pt>
                <c:pt idx="4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Analysis!$E$24:$I$24</c:f>
              <c:numCache>
                <c:formatCode>General</c:formatCode>
                <c:ptCount val="5"/>
                <c:pt idx="0">
                  <c:v>13</c:v>
                </c:pt>
                <c:pt idx="1">
                  <c:v>28</c:v>
                </c:pt>
                <c:pt idx="2">
                  <c:v>43</c:v>
                </c:pt>
                <c:pt idx="3">
                  <c:v>56</c:v>
                </c:pt>
                <c:pt idx="4">
                  <c:v>70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278976"/>
        <c:axId val="84270400"/>
      </c:lineChart>
      <c:catAx>
        <c:axId val="1052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8427040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842704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0527897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8613504"/>
        <c:axId val="517868928"/>
      </c:barChart>
      <c:catAx>
        <c:axId val="518613504"/>
        <c:scaling>
          <c:orientation val="minMax"/>
        </c:scaling>
        <c:delete val="0"/>
        <c:axPos val="b"/>
        <c:majorTickMark val="out"/>
        <c:minorTickMark val="none"/>
        <c:tickLblPos val="nextTo"/>
        <c:crossAx val="517868928"/>
        <c:crosses val="autoZero"/>
        <c:auto val="1"/>
        <c:lblAlgn val="ctr"/>
        <c:lblOffset val="100"/>
        <c:noMultiLvlLbl val="0"/>
      </c:catAx>
      <c:valAx>
        <c:axId val="5178689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18613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9545344"/>
        <c:axId val="517872384"/>
      </c:barChart>
      <c:catAx>
        <c:axId val="519545344"/>
        <c:scaling>
          <c:orientation val="minMax"/>
        </c:scaling>
        <c:delete val="0"/>
        <c:axPos val="b"/>
        <c:majorTickMark val="out"/>
        <c:minorTickMark val="none"/>
        <c:tickLblPos val="nextTo"/>
        <c:crossAx val="517872384"/>
        <c:crosses val="autoZero"/>
        <c:auto val="1"/>
        <c:lblAlgn val="ctr"/>
        <c:lblOffset val="100"/>
        <c:noMultiLvlLbl val="0"/>
      </c:catAx>
      <c:valAx>
        <c:axId val="5178723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19545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9362560"/>
        <c:axId val="528451264"/>
      </c:barChart>
      <c:catAx>
        <c:axId val="519362560"/>
        <c:scaling>
          <c:orientation val="minMax"/>
        </c:scaling>
        <c:delete val="0"/>
        <c:axPos val="b"/>
        <c:majorTickMark val="out"/>
        <c:minorTickMark val="none"/>
        <c:tickLblPos val="nextTo"/>
        <c:crossAx val="528451264"/>
        <c:crosses val="autoZero"/>
        <c:auto val="1"/>
        <c:lblAlgn val="ctr"/>
        <c:lblOffset val="100"/>
        <c:noMultiLvlLbl val="0"/>
      </c:catAx>
      <c:valAx>
        <c:axId val="5284512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19362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123826</xdr:rowOff>
    </xdr:from>
    <xdr:to>
      <xdr:col>14</xdr:col>
      <xdr:colOff>28575</xdr:colOff>
      <xdr:row>15</xdr:row>
      <xdr:rowOff>123826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123826</xdr:rowOff>
    </xdr:from>
    <xdr:to>
      <xdr:col>9</xdr:col>
      <xdr:colOff>0</xdr:colOff>
      <xdr:row>16</xdr:row>
      <xdr:rowOff>133350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28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M13" sqref="M13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3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22</v>
      </c>
      <c r="G1" s="4">
        <f>SprintStart</f>
        <v>42723</v>
      </c>
      <c r="H1" s="1"/>
      <c r="I1" s="1"/>
      <c r="J1" s="170">
        <f>SprintStart</f>
        <v>42723</v>
      </c>
      <c r="K1" s="170"/>
      <c r="L1" s="170"/>
      <c r="M1" s="170">
        <f>IF(AND(SkipWeekends, WEEKDAY(J1)=6),J1+3, J1+1)</f>
        <v>42724</v>
      </c>
      <c r="N1" s="170"/>
      <c r="O1" s="170"/>
      <c r="P1" s="170">
        <f>IF(AND(SkipWeekends, WEEKDAY(M1)=6),M1+3, M1+1)</f>
        <v>42725</v>
      </c>
      <c r="Q1" s="170"/>
      <c r="R1" s="170"/>
      <c r="S1" s="170">
        <f>IF(AND(SkipWeekends, WEEKDAY(P1)=6),P1+3, P1+1)</f>
        <v>42726</v>
      </c>
      <c r="T1" s="170"/>
      <c r="U1" s="170"/>
      <c r="V1" s="170">
        <f>IF(AND(SkipWeekends, WEEKDAY(S1)=6),S1+3, S1+1)</f>
        <v>42727</v>
      </c>
      <c r="W1" s="170"/>
      <c r="X1" s="170"/>
      <c r="Y1" s="170">
        <f>IF(AND(SkipWeekends, WEEKDAY(V1)=6),V1+3, V1+1)</f>
        <v>42730</v>
      </c>
      <c r="Z1" s="170"/>
      <c r="AA1" s="170"/>
      <c r="AB1" s="170">
        <f>IF(AND(SkipWeekends, WEEKDAY(Y1)=6),Y1+3, Y1+1)</f>
        <v>42731</v>
      </c>
      <c r="AC1" s="170"/>
      <c r="AD1" s="170"/>
      <c r="AE1" s="170">
        <f>IF(AND(SkipWeekends, WEEKDAY(AB1)=6),AB1+3, AB1+1)</f>
        <v>42732</v>
      </c>
      <c r="AF1" s="170"/>
      <c r="AG1" s="170"/>
      <c r="AH1" s="170">
        <f>IF(AND(SkipWeekends, WEEKDAY(AE1)=6),AE1+3, AE1+1)</f>
        <v>42733</v>
      </c>
      <c r="AI1" s="170"/>
      <c r="AJ1" s="170"/>
      <c r="AK1" s="170">
        <f>IF(AND(SkipWeekends, WEEKDAY(AH1)=6),AH1+3, AH1+1)</f>
        <v>42734</v>
      </c>
      <c r="AL1" s="170"/>
      <c r="AM1" s="170"/>
      <c r="AN1" s="170">
        <f>IF(AND(SkipWeekends, WEEKDAY(AK1)=6),AK1+3, AK1+1)</f>
        <v>42737</v>
      </c>
      <c r="AO1" s="170"/>
      <c r="AP1" s="170"/>
      <c r="AQ1" s="170">
        <f>IF(AND(SkipWeekends, WEEKDAY(AN1)=6),AN1+3, AN1+1)</f>
        <v>42738</v>
      </c>
      <c r="AR1" s="170"/>
      <c r="AS1" s="170"/>
      <c r="AT1" s="170">
        <f>IF(AND(SkipWeekends, WEEKDAY(AQ1)=6),AQ1+3, AQ1+1)</f>
        <v>42739</v>
      </c>
      <c r="AU1" s="170"/>
      <c r="AV1" s="170"/>
      <c r="AW1" s="170">
        <f>IF(AND(SkipWeekends, WEEKDAY(AT1)=6),AT1+3, AT1+1)</f>
        <v>42740</v>
      </c>
      <c r="AX1" s="170"/>
      <c r="AY1" s="170"/>
      <c r="AZ1" s="170" t="e">
        <f>IF(AND(SkipWeekends, WEEKDAY(#REF!)=6),#REF!+3,#REF!+ 1)</f>
        <v>#REF!</v>
      </c>
      <c r="BA1" s="170"/>
      <c r="BB1" s="170"/>
      <c r="BC1" s="170" t="e">
        <f>IF(AND(SkipWeekends, WEEKDAY(AZ1)=6),AZ1+3, AZ1+1)</f>
        <v>#REF!</v>
      </c>
      <c r="BD1" s="170"/>
      <c r="BE1" s="170"/>
      <c r="BF1" s="170" t="e">
        <f>IF(AND(SkipWeekends, WEEKDAY(BC1)=6),BC1+3, BC1+1)</f>
        <v>#REF!</v>
      </c>
      <c r="BG1" s="170"/>
      <c r="BH1" s="170"/>
      <c r="BI1" s="170" t="e">
        <f>IF(AND(SkipWeekends, WEEKDAY(BF1)=6),BF1+3, BF1+1)</f>
        <v>#REF!</v>
      </c>
      <c r="BJ1" s="170"/>
      <c r="BK1" s="170"/>
      <c r="BL1" s="170" t="e">
        <f>IF(AND(SkipWeekends, WEEKDAY(BI1)=6),BI1+3, BI1+1)</f>
        <v>#REF!</v>
      </c>
      <c r="BM1" s="170"/>
      <c r="BN1" s="170"/>
      <c r="BO1" s="170" t="e">
        <f>IF(AND(SkipWeekends, WEEKDAY(BL1)=6),BL1+3, BL1+1)</f>
        <v>#REF!</v>
      </c>
      <c r="BP1" s="170"/>
      <c r="BQ1" s="170"/>
      <c r="BR1" s="170" t="e">
        <f>IF(AND(SkipWeekends, WEEKDAY(BO1)=6),BO1+3, BO1+1)</f>
        <v>#REF!</v>
      </c>
      <c r="BS1" s="170"/>
      <c r="BT1" s="170"/>
      <c r="BU1" s="170" t="e">
        <f>IF(AND(SkipWeekends, WEEKDAY(BR1)=6),BR1+3, BR1+1)</f>
        <v>#REF!</v>
      </c>
      <c r="BV1" s="170"/>
      <c r="BW1" s="170"/>
      <c r="BX1" s="170" t="e">
        <f>IF(AND(SkipWeekends, WEEKDAY(BU1)=6),BU1+3, BU1+1)</f>
        <v>#REF!</v>
      </c>
      <c r="BY1" s="170"/>
      <c r="BZ1" s="170"/>
      <c r="CA1" s="170" t="e">
        <f>IF(AND(SkipWeekends, WEEKDAY(BX1)=6),BX1+3, BX1+1)</f>
        <v>#REF!</v>
      </c>
      <c r="CB1" s="170"/>
      <c r="CC1" s="170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32"/>
      <c r="K2" s="132" t="s">
        <v>53</v>
      </c>
      <c r="L2" s="10"/>
      <c r="M2" s="10"/>
      <c r="N2" s="10" t="s">
        <v>54</v>
      </c>
      <c r="O2" s="10"/>
      <c r="P2" s="10"/>
      <c r="Q2" s="10" t="s">
        <v>55</v>
      </c>
      <c r="R2" s="10"/>
      <c r="S2" s="10"/>
      <c r="T2" s="10" t="s">
        <v>56</v>
      </c>
      <c r="U2" s="10"/>
      <c r="V2" s="10"/>
      <c r="W2" s="10" t="s">
        <v>57</v>
      </c>
      <c r="X2" s="10"/>
      <c r="Y2" s="10"/>
      <c r="Z2" s="10" t="s">
        <v>58</v>
      </c>
      <c r="AA2" s="10"/>
      <c r="AB2" s="10"/>
      <c r="AC2" s="10" t="s">
        <v>59</v>
      </c>
      <c r="AD2" s="10"/>
      <c r="AE2" s="10"/>
      <c r="AF2" s="10" t="s">
        <v>60</v>
      </c>
      <c r="AG2" s="10"/>
      <c r="AH2" s="10"/>
      <c r="AI2" s="10" t="s">
        <v>61</v>
      </c>
      <c r="AJ2" s="10"/>
      <c r="AK2" s="10"/>
      <c r="AL2" s="10" t="s">
        <v>62</v>
      </c>
      <c r="AM2" s="10"/>
      <c r="AN2" s="10"/>
      <c r="AO2" s="10" t="s">
        <v>63</v>
      </c>
      <c r="AP2" s="10"/>
      <c r="AQ2" s="10"/>
      <c r="AR2" s="10" t="s">
        <v>64</v>
      </c>
      <c r="AS2" s="10"/>
      <c r="AT2" s="10"/>
      <c r="AU2" s="10" t="s">
        <v>65</v>
      </c>
      <c r="AV2" s="10"/>
      <c r="AW2" s="10"/>
      <c r="AX2" s="10" t="s">
        <v>66</v>
      </c>
      <c r="AY2" s="10"/>
      <c r="AZ2" s="10"/>
      <c r="BA2" s="10" t="s">
        <v>67</v>
      </c>
      <c r="BB2" s="10"/>
      <c r="BC2" s="10"/>
      <c r="BD2" s="10" t="s">
        <v>68</v>
      </c>
      <c r="BE2" s="10"/>
      <c r="BF2" s="10"/>
      <c r="BG2" s="10" t="s">
        <v>69</v>
      </c>
      <c r="BH2" s="10"/>
      <c r="BI2" s="10"/>
      <c r="BJ2" s="10" t="s">
        <v>70</v>
      </c>
      <c r="BK2" s="10"/>
      <c r="BL2" s="10"/>
      <c r="BM2" s="10" t="s">
        <v>71</v>
      </c>
      <c r="BN2" s="10"/>
      <c r="BO2" s="10"/>
      <c r="BP2" s="10" t="s">
        <v>72</v>
      </c>
      <c r="BQ2" s="10"/>
      <c r="BR2" s="10"/>
      <c r="BS2" s="10" t="s">
        <v>73</v>
      </c>
      <c r="BT2" s="10"/>
      <c r="BU2" s="10"/>
      <c r="BV2" s="10" t="s">
        <v>74</v>
      </c>
      <c r="BW2" s="10"/>
      <c r="BX2" s="10"/>
      <c r="BY2" s="10" t="s">
        <v>75</v>
      </c>
      <c r="BZ2" s="10"/>
      <c r="CA2" s="10"/>
      <c r="CB2" s="10" t="s">
        <v>76</v>
      </c>
      <c r="CC2" s="10"/>
      <c r="CD2" s="5"/>
      <c r="CE2" s="1"/>
    </row>
    <row r="3" spans="1:83" ht="38.25" customHeight="1" x14ac:dyDescent="0.2">
      <c r="A3" s="11" t="s">
        <v>97</v>
      </c>
      <c r="B3" s="11" t="s">
        <v>98</v>
      </c>
      <c r="C3" s="11" t="s">
        <v>77</v>
      </c>
      <c r="D3" s="11" t="s">
        <v>78</v>
      </c>
      <c r="E3" s="1" t="s">
        <v>79</v>
      </c>
      <c r="F3" s="1" t="s">
        <v>88</v>
      </c>
      <c r="G3" s="1" t="s">
        <v>0</v>
      </c>
      <c r="H3" s="12" t="s">
        <v>1</v>
      </c>
      <c r="I3" s="12" t="s">
        <v>80</v>
      </c>
      <c r="J3" s="133" t="s">
        <v>11</v>
      </c>
      <c r="K3" s="134" t="s">
        <v>2</v>
      </c>
      <c r="L3" s="14"/>
      <c r="M3" s="13" t="s">
        <v>11</v>
      </c>
      <c r="N3" s="14" t="s">
        <v>2</v>
      </c>
      <c r="O3" s="14"/>
      <c r="P3" s="13" t="s">
        <v>11</v>
      </c>
      <c r="Q3" s="14" t="s">
        <v>2</v>
      </c>
      <c r="R3" s="14"/>
      <c r="S3" s="13" t="s">
        <v>11</v>
      </c>
      <c r="T3" s="14" t="s">
        <v>2</v>
      </c>
      <c r="U3" s="14"/>
      <c r="V3" s="13" t="s">
        <v>11</v>
      </c>
      <c r="W3" s="14" t="s">
        <v>2</v>
      </c>
      <c r="X3" s="14"/>
      <c r="Y3" s="13" t="s">
        <v>11</v>
      </c>
      <c r="Z3" s="14" t="s">
        <v>2</v>
      </c>
      <c r="AA3" s="14"/>
      <c r="AB3" s="13" t="s">
        <v>11</v>
      </c>
      <c r="AC3" s="14" t="s">
        <v>2</v>
      </c>
      <c r="AD3" s="14"/>
      <c r="AE3" s="13" t="s">
        <v>11</v>
      </c>
      <c r="AF3" s="14" t="s">
        <v>2</v>
      </c>
      <c r="AG3" s="14"/>
      <c r="AH3" s="13" t="s">
        <v>11</v>
      </c>
      <c r="AI3" s="14" t="s">
        <v>2</v>
      </c>
      <c r="AJ3" s="14"/>
      <c r="AK3" s="13" t="s">
        <v>11</v>
      </c>
      <c r="AL3" s="14" t="s">
        <v>2</v>
      </c>
      <c r="AM3" s="14"/>
      <c r="AN3" s="13" t="s">
        <v>11</v>
      </c>
      <c r="AO3" s="14" t="s">
        <v>2</v>
      </c>
      <c r="AP3" s="14"/>
      <c r="AQ3" s="13" t="s">
        <v>11</v>
      </c>
      <c r="AR3" s="14" t="s">
        <v>2</v>
      </c>
      <c r="AS3" s="14"/>
      <c r="AT3" s="13" t="s">
        <v>11</v>
      </c>
      <c r="AU3" s="14" t="s">
        <v>2</v>
      </c>
      <c r="AV3" s="14"/>
      <c r="AW3" s="13" t="s">
        <v>11</v>
      </c>
      <c r="AX3" s="14" t="s">
        <v>2</v>
      </c>
      <c r="AY3" s="14"/>
      <c r="AZ3" s="13" t="s">
        <v>11</v>
      </c>
      <c r="BA3" s="14" t="s">
        <v>2</v>
      </c>
      <c r="BB3" s="14"/>
      <c r="BC3" s="13" t="s">
        <v>11</v>
      </c>
      <c r="BD3" s="14" t="s">
        <v>2</v>
      </c>
      <c r="BE3" s="14"/>
      <c r="BF3" s="13" t="s">
        <v>11</v>
      </c>
      <c r="BG3" s="14" t="s">
        <v>2</v>
      </c>
      <c r="BH3" s="14"/>
      <c r="BI3" s="13" t="s">
        <v>11</v>
      </c>
      <c r="BJ3" s="14" t="s">
        <v>2</v>
      </c>
      <c r="BK3" s="14"/>
      <c r="BL3" s="13" t="s">
        <v>11</v>
      </c>
      <c r="BM3" s="14" t="s">
        <v>2</v>
      </c>
      <c r="BN3" s="14"/>
      <c r="BO3" s="13" t="s">
        <v>11</v>
      </c>
      <c r="BP3" s="14" t="s">
        <v>2</v>
      </c>
      <c r="BQ3" s="14"/>
      <c r="BR3" s="13" t="s">
        <v>11</v>
      </c>
      <c r="BS3" s="14" t="s">
        <v>2</v>
      </c>
      <c r="BT3" s="14"/>
      <c r="BU3" s="13" t="s">
        <v>11</v>
      </c>
      <c r="BV3" s="14" t="s">
        <v>2</v>
      </c>
      <c r="BW3" s="14"/>
      <c r="BX3" s="13" t="s">
        <v>11</v>
      </c>
      <c r="BY3" s="14" t="s">
        <v>2</v>
      </c>
      <c r="BZ3" s="14"/>
      <c r="CA3" s="13" t="s">
        <v>11</v>
      </c>
      <c r="CB3" s="14" t="s">
        <v>2</v>
      </c>
      <c r="CC3" s="14"/>
      <c r="CD3" s="14"/>
      <c r="CE3" s="15" t="s">
        <v>29</v>
      </c>
    </row>
    <row r="4" spans="1:83" x14ac:dyDescent="0.2">
      <c r="A4" s="16" t="s">
        <v>100</v>
      </c>
      <c r="B4" s="16" t="s">
        <v>117</v>
      </c>
      <c r="C4" s="16" t="s">
        <v>157</v>
      </c>
      <c r="D4" s="17">
        <v>3</v>
      </c>
      <c r="E4" s="157" t="s">
        <v>146</v>
      </c>
      <c r="F4" s="18" t="s">
        <v>136</v>
      </c>
      <c r="G4" s="19" t="str">
        <f t="shared" ref="G4:G16" ca="1" si="0">(INDEX(Burndown,ROW(G4)-ROW(G$3),MIN(TODAY()-SprintStart,29)*3+3))</f>
        <v>Complete</v>
      </c>
      <c r="H4" s="20">
        <v>1</v>
      </c>
      <c r="I4" s="21">
        <v>5</v>
      </c>
      <c r="J4" s="22">
        <v>1</v>
      </c>
      <c r="K4" s="22">
        <f t="shared" ref="K4" si="1">MAX(I4-J4, 0)</f>
        <v>4</v>
      </c>
      <c r="L4" s="23" t="str">
        <f>IF(SUMPRODUCT($J$19:K$19,$J4:K4)&lt;0.5, "Pending", IF(K4&lt;0.5, "Complete", "In Progress"))</f>
        <v>In Progress</v>
      </c>
      <c r="M4" s="22">
        <v>3</v>
      </c>
      <c r="N4" s="22">
        <f t="shared" ref="N4" si="2">MAX(K4-M4,0)</f>
        <v>1</v>
      </c>
      <c r="O4" s="23" t="str">
        <f>IF(SUMPRODUCT($J$19:N$19,$J4:N4)&lt;0.5, "Pending", IF(N4&lt;0.5, "Complete", "In Progress"))</f>
        <v>In Progress</v>
      </c>
      <c r="P4" s="22">
        <v>1</v>
      </c>
      <c r="Q4" s="22">
        <f t="shared" ref="Q4" si="3">MAX(N4-P4,0)</f>
        <v>0</v>
      </c>
      <c r="R4" s="23" t="str">
        <f>IF(SUMPRODUCT($J$19:Q$19,$J4:Q4)&lt;0.5, "Pending", IF(Q4&lt;0.5, "Complete", "In Progress"))</f>
        <v>Complete</v>
      </c>
      <c r="S4" s="22">
        <v>0</v>
      </c>
      <c r="T4" s="22">
        <f t="shared" ref="T4" si="4">MAX(Q4-S4,0)</f>
        <v>0</v>
      </c>
      <c r="U4" s="23" t="str">
        <f>IF(SUMPRODUCT($J$19:T$19,$J4:T4)&lt;0.5,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IF(SUMPRODUCT($J$19:W$19,$J4:W4)&lt;0.5,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IF(SUMPRODUCT($J$19:Z$19,$J4:Z4)&lt;0.5,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IF(SUMPRODUCT($J$19:AC$19,$J4:AC4)&lt;0.5,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IF(SUMPRODUCT($J$19:AF$19,$J4:AF4)&lt;0.5,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IF(SUMPRODUCT($J$19:AI$19,$J4:AI4)&lt;0.5,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IF(SUMPRODUCT($J$19:AL$19,$J4:AL4)&lt;0.5,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IF(SUMPRODUCT($J$19:AO$19,$J4:AO4)&lt;0.5,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IF(SUMPRODUCT($J$19:AR$19,$J4:AR4)&lt;0.5,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IF(SUMPRODUCT($J$19:AU$19,$J4:AU4)&lt;0.5,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IF(SUMPRODUCT($J$19:AX$19,$J4:AX4)&lt;0.5,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IF(SUMPRODUCT($J$19:BA$19,$J4:BA4)&lt;0.5,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IF(SUMPRODUCT($J$19:BD$19,$J4:BD4)&lt;0.5,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IF(SUMPRODUCT($J$19:BG$19,$J4:BG4)&lt;0.5,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IF(SUMPRODUCT($J$19:BJ$19,$J4:BJ4)&lt;0.5,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IF(SUMPRODUCT($J$19:BM$19,$J4:BM4)&lt;0.5,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IF(SUMPRODUCT($J$19:BP$19,$J4:BP4)&lt;0.5,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IF(SUMPRODUCT($J$19:BS$19,$J4:BS4)&lt;0.5,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IF(SUMPRODUCT($J$19:BV$19,$J4:BV4)&lt;0.5,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IF(SUMPRODUCT($J$19:BY$19,$J4:BY4)&lt;0.5,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IF(SUMPRODUCT($J$19:CB$19,$J4:CB4)&lt;0.5, "Pending", IF(CB4&lt;0.5, "Complete", "In Progress"))</f>
        <v>#REF!</v>
      </c>
      <c r="CD4" s="24"/>
      <c r="CE4" s="25">
        <f>SUMPRODUCT($H$19:AY$19,$H4:AY4)</f>
        <v>5</v>
      </c>
    </row>
    <row r="5" spans="1:83" x14ac:dyDescent="0.2">
      <c r="A5" s="16" t="s">
        <v>100</v>
      </c>
      <c r="B5" s="16" t="s">
        <v>117</v>
      </c>
      <c r="C5" s="16" t="s">
        <v>155</v>
      </c>
      <c r="D5" s="17">
        <v>4</v>
      </c>
      <c r="E5" s="157" t="s">
        <v>147</v>
      </c>
      <c r="F5" s="18" t="s">
        <v>138</v>
      </c>
      <c r="G5" s="19" t="str">
        <f t="shared" ca="1" si="0"/>
        <v>Complete</v>
      </c>
      <c r="H5" s="20">
        <v>1</v>
      </c>
      <c r="I5" s="21">
        <v>5</v>
      </c>
      <c r="J5" s="22">
        <v>0</v>
      </c>
      <c r="K5" s="169">
        <v>5</v>
      </c>
      <c r="L5" s="23" t="str">
        <f>IF(SUMPRODUCT($J$19:K$19,$J5:K5)&lt;0.5, "Pending", IF(K5&lt;0.5, "Complete", "In Progress"))</f>
        <v>Pending</v>
      </c>
      <c r="M5" s="22">
        <v>0</v>
      </c>
      <c r="N5" s="22">
        <f t="shared" ref="N5:N17" si="24">MAX(K5-M5,0)</f>
        <v>5</v>
      </c>
      <c r="O5" s="23" t="str">
        <f>IF(SUMPRODUCT($J$19:N$19,$J5:N5)&lt;0.5, "Pending", IF(N5&lt;0.5, "Complete", "In Progress"))</f>
        <v>Pending</v>
      </c>
      <c r="P5" s="22">
        <v>1</v>
      </c>
      <c r="Q5" s="22">
        <f>MAX(N5-P5,0)</f>
        <v>4</v>
      </c>
      <c r="R5" s="23" t="str">
        <f>IF(SUMPRODUCT($J$19:Q$19,$J5:Q5)&lt;0.5, "Pending", IF(Q5&lt;0.5, "Complete", "In Progress"))</f>
        <v>In Progress</v>
      </c>
      <c r="S5" s="22">
        <v>2</v>
      </c>
      <c r="T5" s="22">
        <f t="shared" ref="T5:T17" si="25">MAX(Q5-S5,0)</f>
        <v>2</v>
      </c>
      <c r="U5" s="23" t="str">
        <f>IF(SUMPRODUCT($J$19:T$19,$J5:T5)&lt;0.5, "Pending", IF(T5&lt;0.5, "Complete", "In Progress"))</f>
        <v>In Progress</v>
      </c>
      <c r="V5" s="22">
        <v>2</v>
      </c>
      <c r="W5" s="22">
        <f t="shared" ref="W5:W17" si="26">MAX(T5-V5,0)</f>
        <v>0</v>
      </c>
      <c r="X5" s="23" t="str">
        <f>IF(SUMPRODUCT($J$19:W$19,$J5:W5)&lt;0.5, "Pending", IF(W5&lt;0.5, "Complete", "In Progress"))</f>
        <v>Complete</v>
      </c>
      <c r="Y5" s="22">
        <v>0</v>
      </c>
      <c r="Z5" s="22">
        <f t="shared" ref="Z5:Z17" si="27">MAX(W5-Y5,0)</f>
        <v>0</v>
      </c>
      <c r="AA5" s="23" t="str">
        <f>IF(SUMPRODUCT($J$19:Z$19,$J5:Z5)&lt;0.5, "Pending", IF(Z5&lt;0.5, "Complete", "In Progress"))</f>
        <v>Complete</v>
      </c>
      <c r="AB5" s="22">
        <v>0</v>
      </c>
      <c r="AC5" s="22">
        <f t="shared" ref="AC5:AC17" si="28">MAX(Z5-AB5,0)</f>
        <v>0</v>
      </c>
      <c r="AD5" s="23" t="str">
        <f>IF(SUMPRODUCT($J$19:AC$19,$J5:AC5)&lt;0.5, "Pending", IF(AC5&lt;0.5, "Complete", "In Progress"))</f>
        <v>Complete</v>
      </c>
      <c r="AE5" s="22">
        <v>0</v>
      </c>
      <c r="AF5" s="22">
        <f t="shared" ref="AF5:AF17" si="29">MAX(AC5-AE5,0)</f>
        <v>0</v>
      </c>
      <c r="AG5" s="23" t="str">
        <f>IF(SUMPRODUCT($J$19:AF$19,$J5:AF5)&lt;0.5, "Pending", IF(AF5&lt;0.5, "Complete", "In Progress"))</f>
        <v>Complete</v>
      </c>
      <c r="AH5" s="22">
        <v>0</v>
      </c>
      <c r="AI5" s="22">
        <f t="shared" ref="AI5:AI17" si="30">MAX(AF5-AH5,0)</f>
        <v>0</v>
      </c>
      <c r="AJ5" s="23" t="str">
        <f>IF(SUMPRODUCT($J$19:AI$19,$J5:AI5)&lt;0.5, "Pending", IF(AI5&lt;0.5, "Complete", "In Progress"))</f>
        <v>Complete</v>
      </c>
      <c r="AK5" s="22">
        <v>0</v>
      </c>
      <c r="AL5" s="22">
        <f t="shared" ref="AL5:AL17" si="31">MAX(AI5-AK5,0)</f>
        <v>0</v>
      </c>
      <c r="AM5" s="23" t="str">
        <f>IF(SUMPRODUCT($J$19:AL$19,$J5:AL5)&lt;0.5, "Pending", IF(AL5&lt;0.5, "Complete", "In Progress"))</f>
        <v>Complete</v>
      </c>
      <c r="AN5" s="22">
        <v>0</v>
      </c>
      <c r="AO5" s="22">
        <f t="shared" ref="AO5:AO17" si="32">MAX(AL5-AN5,0)</f>
        <v>0</v>
      </c>
      <c r="AP5" s="23" t="str">
        <f>IF(SUMPRODUCT($J$19:AO$19,$J5:AO5)&lt;0.5, "Pending", IF(AO5&lt;0.5, "Complete", "In Progress"))</f>
        <v>Complete</v>
      </c>
      <c r="AQ5" s="22">
        <v>0</v>
      </c>
      <c r="AR5" s="22">
        <f t="shared" ref="AR5:AR17" si="33">MAX(AO5-AQ5,0)</f>
        <v>0</v>
      </c>
      <c r="AS5" s="23" t="str">
        <f>IF(SUMPRODUCT($J$19:AR$19,$J5:AR5)&lt;0.5, "Pending", IF(AR5&lt;0.5, "Complete", "In Progress"))</f>
        <v>Complete</v>
      </c>
      <c r="AT5" s="22">
        <v>0</v>
      </c>
      <c r="AU5" s="22">
        <f t="shared" ref="AU5:AU17" si="34">MAX(AR5-AT5,0)</f>
        <v>0</v>
      </c>
      <c r="AV5" s="23" t="str">
        <f>IF(SUMPRODUCT($J$19:AU$19,$J5:AU5)&lt;0.5, "Pending", IF(AU5&lt;0.5, "Complete", "In Progress"))</f>
        <v>Complete</v>
      </c>
      <c r="AW5" s="22">
        <v>0</v>
      </c>
      <c r="AX5" s="22">
        <f t="shared" ref="AX5:AX17" si="35">MAX(AU5-AW5,0)</f>
        <v>0</v>
      </c>
      <c r="AY5" s="23" t="str">
        <f>IF(SUMPRODUCT($J$19:AX$19,$J5:AX5)&lt;0.5,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IF(SUMPRODUCT($J$19:BA$19,$J5:BA5)&lt;0.5, "Pending", IF(BA5&lt;0.5, "Complete", "In Progress"))</f>
        <v>#REF!</v>
      </c>
      <c r="BC5" s="22">
        <v>0</v>
      </c>
      <c r="BD5" s="22" t="e">
        <f t="shared" ref="BD5:BD17" si="36">MAX(BA5-BC5,0)</f>
        <v>#REF!</v>
      </c>
      <c r="BE5" s="23" t="e">
        <f>IF(SUMPRODUCT($J$19:BD$19,$J5:BD5)&lt;0.5, "Pending", IF(BD5&lt;0.5, "Complete", "In Progress"))</f>
        <v>#REF!</v>
      </c>
      <c r="BF5" s="22">
        <v>0</v>
      </c>
      <c r="BG5" s="22" t="e">
        <f t="shared" ref="BG5:BG17" si="37">MAX(BD5-BF5,0)</f>
        <v>#REF!</v>
      </c>
      <c r="BH5" s="23" t="e">
        <f>IF(SUMPRODUCT($J$19:BG$19,$J5:BG5)&lt;0.5, "Pending", IF(BG5&lt;0.5, "Complete", "In Progress"))</f>
        <v>#REF!</v>
      </c>
      <c r="BI5" s="22">
        <v>0</v>
      </c>
      <c r="BJ5" s="22" t="e">
        <f t="shared" ref="BJ5:BJ17" si="38">MAX(BG5-BI5,0)</f>
        <v>#REF!</v>
      </c>
      <c r="BK5" s="23" t="e">
        <f>IF(SUMPRODUCT($J$19:BJ$19,$J5:BJ5)&lt;0.5, "Pending", IF(BJ5&lt;0.5, "Complete", "In Progress"))</f>
        <v>#REF!</v>
      </c>
      <c r="BL5" s="22">
        <v>0</v>
      </c>
      <c r="BM5" s="22" t="e">
        <f t="shared" ref="BM5:BM17" si="39">MAX(BJ5-BL5,0)</f>
        <v>#REF!</v>
      </c>
      <c r="BN5" s="23" t="e">
        <f>IF(SUMPRODUCT($J$19:BM$19,$J5:BM5)&lt;0.5, "Pending", IF(BM5&lt;0.5, "Complete", "In Progress"))</f>
        <v>#REF!</v>
      </c>
      <c r="BO5" s="22">
        <v>0</v>
      </c>
      <c r="BP5" s="22" t="e">
        <f t="shared" ref="BP5:BP17" si="40">MAX(BM5-BO5,0)</f>
        <v>#REF!</v>
      </c>
      <c r="BQ5" s="23" t="e">
        <f>IF(SUMPRODUCT($J$19:BP$19,$J5:BP5)&lt;0.5, "Pending", IF(BP5&lt;0.5, "Complete", "In Progress"))</f>
        <v>#REF!</v>
      </c>
      <c r="BR5" s="22">
        <v>0</v>
      </c>
      <c r="BS5" s="22" t="e">
        <f t="shared" ref="BS5:BS17" si="41">MAX(BP5-BR5,0)</f>
        <v>#REF!</v>
      </c>
      <c r="BT5" s="23" t="e">
        <f>IF(SUMPRODUCT($J$19:BS$19,$J5:BS5)&lt;0.5, "Pending", IF(BS5&lt;0.5, "Complete", "In Progress"))</f>
        <v>#REF!</v>
      </c>
      <c r="BU5" s="22">
        <v>0</v>
      </c>
      <c r="BV5" s="22" t="e">
        <f t="shared" ref="BV5:BV17" si="42">MAX(BS5-BU5,0)</f>
        <v>#REF!</v>
      </c>
      <c r="BW5" s="23" t="e">
        <f>IF(SUMPRODUCT($J$19:BV$19,$J5:BV5)&lt;0.5, "Pending", IF(BV5&lt;0.5, "Complete", "In Progress"))</f>
        <v>#REF!</v>
      </c>
      <c r="BX5" s="22">
        <v>0</v>
      </c>
      <c r="BY5" s="22" t="e">
        <f t="shared" ref="BY5:BY17" si="43">MAX(BV5-BX5,0)</f>
        <v>#REF!</v>
      </c>
      <c r="BZ5" s="23" t="e">
        <f>IF(SUMPRODUCT($J$19:BY$19,$J5:BY5)&lt;0.5, "Pending", IF(BY5&lt;0.5, "Complete", "In Progress"))</f>
        <v>#REF!</v>
      </c>
      <c r="CA5" s="22">
        <v>0</v>
      </c>
      <c r="CB5" s="22" t="e">
        <f t="shared" ref="CB5:CB17" si="44">MAX(BY5-CA5,0)</f>
        <v>#REF!</v>
      </c>
      <c r="CC5" s="23" t="e">
        <f>IF(SUMPRODUCT($J$19:CB$19,$J5:CB5)&lt;0.5, "Pending", IF(CB5&lt;0.5, "Complete", "In Progress"))</f>
        <v>#REF!</v>
      </c>
      <c r="CD5" s="24"/>
      <c r="CE5" s="25">
        <f>SUMPRODUCT($H$19:AY$19,$H5:AY5)</f>
        <v>5</v>
      </c>
    </row>
    <row r="6" spans="1:83" x14ac:dyDescent="0.2">
      <c r="A6" s="16" t="s">
        <v>102</v>
      </c>
      <c r="B6" s="16" t="s">
        <v>105</v>
      </c>
      <c r="C6" s="16" t="s">
        <v>155</v>
      </c>
      <c r="D6" s="17">
        <v>1</v>
      </c>
      <c r="E6" s="157" t="s">
        <v>148</v>
      </c>
      <c r="F6" s="18" t="s">
        <v>141</v>
      </c>
      <c r="G6" s="19" t="str">
        <f t="shared" ca="1" si="0"/>
        <v>Complete</v>
      </c>
      <c r="H6" s="20">
        <v>1</v>
      </c>
      <c r="I6" s="21">
        <v>5</v>
      </c>
      <c r="J6" s="22">
        <v>2</v>
      </c>
      <c r="K6" s="22">
        <v>3</v>
      </c>
      <c r="L6" s="23" t="str">
        <f>IF(SUMPRODUCT($J$19:K$19,$J6:K6)&lt;0.5, "Pending", IF(K6&lt;0.5, "Complete", "In Progress"))</f>
        <v>In Progress</v>
      </c>
      <c r="M6" s="22">
        <v>2</v>
      </c>
      <c r="N6" s="22">
        <f t="shared" si="24"/>
        <v>1</v>
      </c>
      <c r="O6" s="23" t="str">
        <f>IF(SUMPRODUCT($J$19:N$19,$J6:N6)&lt;0.5, "Pending", IF(N6&lt;0.5, "Complete", "In Progress"))</f>
        <v>In Progress</v>
      </c>
      <c r="P6" s="22">
        <v>1</v>
      </c>
      <c r="Q6" s="22">
        <f t="shared" ref="Q6:Q17" si="45">MAX(N6-P6,0)</f>
        <v>0</v>
      </c>
      <c r="R6" s="23" t="str">
        <f>IF(SUMPRODUCT($J$19:Q$19,$J6:Q6)&lt;0.5, "Pending", IF(Q6&lt;0.5, "Complete", "In Progress"))</f>
        <v>Complete</v>
      </c>
      <c r="S6" s="22">
        <v>0</v>
      </c>
      <c r="T6" s="22">
        <f t="shared" si="25"/>
        <v>0</v>
      </c>
      <c r="U6" s="23" t="str">
        <f>IF(SUMPRODUCT($J$19:T$19,$J6:T6)&lt;0.5, "Pending", IF(T6&lt;0.5, "Complete", "In Progress"))</f>
        <v>Complete</v>
      </c>
      <c r="V6" s="22">
        <v>0</v>
      </c>
      <c r="W6" s="22">
        <f t="shared" si="26"/>
        <v>0</v>
      </c>
      <c r="X6" s="23" t="str">
        <f>IF(SUMPRODUCT($J$19:W$19,$J6:W6)&lt;0.5, "Pending", IF(W6&lt;0.5, "Complete", "In Progress"))</f>
        <v>Complete</v>
      </c>
      <c r="Y6" s="22">
        <v>0</v>
      </c>
      <c r="Z6" s="22">
        <f t="shared" si="27"/>
        <v>0</v>
      </c>
      <c r="AA6" s="23" t="str">
        <f>IF(SUMPRODUCT($J$19:Z$19,$J6:Z6)&lt;0.5, "Pending", IF(Z6&lt;0.5, "Complete", "In Progress"))</f>
        <v>Complete</v>
      </c>
      <c r="AB6" s="22">
        <v>0</v>
      </c>
      <c r="AC6" s="22">
        <f t="shared" si="28"/>
        <v>0</v>
      </c>
      <c r="AD6" s="23" t="str">
        <f>IF(SUMPRODUCT($J$19:AC$19,$J6:AC6)&lt;0.5, "Pending", IF(AC6&lt;0.5, "Complete", "In Progress"))</f>
        <v>Complete</v>
      </c>
      <c r="AE6" s="22">
        <v>0</v>
      </c>
      <c r="AF6" s="22">
        <f t="shared" si="29"/>
        <v>0</v>
      </c>
      <c r="AG6" s="23" t="str">
        <f>IF(SUMPRODUCT($J$19:AF$19,$J6:AF6)&lt;0.5, "Pending", IF(AF6&lt;0.5, "Complete", "In Progress"))</f>
        <v>Complete</v>
      </c>
      <c r="AH6" s="22">
        <v>0</v>
      </c>
      <c r="AI6" s="22">
        <f t="shared" si="30"/>
        <v>0</v>
      </c>
      <c r="AJ6" s="23" t="str">
        <f>IF(SUMPRODUCT($J$19:AI$19,$J6:AI6)&lt;0.5, "Pending", IF(AI6&lt;0.5, "Complete", "In Progress"))</f>
        <v>Complete</v>
      </c>
      <c r="AK6" s="22">
        <v>0</v>
      </c>
      <c r="AL6" s="22">
        <f t="shared" si="31"/>
        <v>0</v>
      </c>
      <c r="AM6" s="23" t="str">
        <f>IF(SUMPRODUCT($J$19:AL$19,$J6:AL6)&lt;0.5, "Pending", IF(AL6&lt;0.5, "Complete", "In Progress"))</f>
        <v>Complete</v>
      </c>
      <c r="AN6" s="22">
        <v>0</v>
      </c>
      <c r="AO6" s="22">
        <f t="shared" si="32"/>
        <v>0</v>
      </c>
      <c r="AP6" s="23" t="str">
        <f>IF(SUMPRODUCT($J$19:AO$19,$J6:AO6)&lt;0.5, "Pending", IF(AO6&lt;0.5, "Complete", "In Progress"))</f>
        <v>Complete</v>
      </c>
      <c r="AQ6" s="22">
        <v>0</v>
      </c>
      <c r="AR6" s="22">
        <f t="shared" si="33"/>
        <v>0</v>
      </c>
      <c r="AS6" s="23" t="str">
        <f>IF(SUMPRODUCT($J$19:AR$19,$J6:AR6)&lt;0.5, "Pending", IF(AR6&lt;0.5, "Complete", "In Progress"))</f>
        <v>Complete</v>
      </c>
      <c r="AT6" s="22">
        <v>0</v>
      </c>
      <c r="AU6" s="22">
        <f t="shared" si="34"/>
        <v>0</v>
      </c>
      <c r="AV6" s="23" t="str">
        <f>IF(SUMPRODUCT($J$19:AU$19,$J6:AU6)&lt;0.5, "Pending", IF(AU6&lt;0.5, "Complete", "In Progress"))</f>
        <v>Complete</v>
      </c>
      <c r="AW6" s="22">
        <v>0</v>
      </c>
      <c r="AX6" s="22">
        <f t="shared" si="35"/>
        <v>0</v>
      </c>
      <c r="AY6" s="23" t="str">
        <f>IF(SUMPRODUCT($J$19:AX$19,$J6:AX6)&lt;0.5,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IF(SUMPRODUCT($J$19:BA$19,$J6:BA6)&lt;0.5, "Pending", IF(BA6&lt;0.5, "Complete", "In Progress"))</f>
        <v>#REF!</v>
      </c>
      <c r="BC6" s="22">
        <v>0</v>
      </c>
      <c r="BD6" s="22" t="e">
        <f t="shared" si="36"/>
        <v>#REF!</v>
      </c>
      <c r="BE6" s="23" t="e">
        <f>IF(SUMPRODUCT($J$19:BD$19,$J6:BD6)&lt;0.5, "Pending", IF(BD6&lt;0.5, "Complete", "In Progress"))</f>
        <v>#REF!</v>
      </c>
      <c r="BF6" s="22">
        <v>0</v>
      </c>
      <c r="BG6" s="22" t="e">
        <f t="shared" si="37"/>
        <v>#REF!</v>
      </c>
      <c r="BH6" s="23" t="e">
        <f>IF(SUMPRODUCT($J$19:BG$19,$J6:BG6)&lt;0.5, "Pending", IF(BG6&lt;0.5, "Complete", "In Progress"))</f>
        <v>#REF!</v>
      </c>
      <c r="BI6" s="22">
        <v>0</v>
      </c>
      <c r="BJ6" s="22" t="e">
        <f t="shared" si="38"/>
        <v>#REF!</v>
      </c>
      <c r="BK6" s="23" t="e">
        <f>IF(SUMPRODUCT($J$19:BJ$19,$J6:BJ6)&lt;0.5, "Pending", IF(BJ6&lt;0.5, "Complete", "In Progress"))</f>
        <v>#REF!</v>
      </c>
      <c r="BL6" s="22">
        <v>0</v>
      </c>
      <c r="BM6" s="22" t="e">
        <f t="shared" si="39"/>
        <v>#REF!</v>
      </c>
      <c r="BN6" s="23" t="e">
        <f>IF(SUMPRODUCT($J$19:BM$19,$J6:BM6)&lt;0.5, "Pending", IF(BM6&lt;0.5, "Complete", "In Progress"))</f>
        <v>#REF!</v>
      </c>
      <c r="BO6" s="22">
        <v>0</v>
      </c>
      <c r="BP6" s="22" t="e">
        <f t="shared" si="40"/>
        <v>#REF!</v>
      </c>
      <c r="BQ6" s="23" t="e">
        <f>IF(SUMPRODUCT($J$19:BP$19,$J6:BP6)&lt;0.5, "Pending", IF(BP6&lt;0.5, "Complete", "In Progress"))</f>
        <v>#REF!</v>
      </c>
      <c r="BR6" s="22">
        <v>0</v>
      </c>
      <c r="BS6" s="22" t="e">
        <f t="shared" si="41"/>
        <v>#REF!</v>
      </c>
      <c r="BT6" s="23" t="e">
        <f>IF(SUMPRODUCT($J$19:BS$19,$J6:BS6)&lt;0.5, "Pending", IF(BS6&lt;0.5, "Complete", "In Progress"))</f>
        <v>#REF!</v>
      </c>
      <c r="BU6" s="22">
        <v>0</v>
      </c>
      <c r="BV6" s="22" t="e">
        <f t="shared" si="42"/>
        <v>#REF!</v>
      </c>
      <c r="BW6" s="23" t="e">
        <f>IF(SUMPRODUCT($J$19:BV$19,$J6:BV6)&lt;0.5, "Pending", IF(BV6&lt;0.5, "Complete", "In Progress"))</f>
        <v>#REF!</v>
      </c>
      <c r="BX6" s="22">
        <v>0</v>
      </c>
      <c r="BY6" s="22" t="e">
        <f t="shared" si="43"/>
        <v>#REF!</v>
      </c>
      <c r="BZ6" s="23" t="e">
        <f>IF(SUMPRODUCT($J$19:BY$19,$J6:BY6)&lt;0.5, "Pending", IF(BY6&lt;0.5, "Complete", "In Progress"))</f>
        <v>#REF!</v>
      </c>
      <c r="CA6" s="22">
        <v>0</v>
      </c>
      <c r="CB6" s="22" t="e">
        <f t="shared" si="44"/>
        <v>#REF!</v>
      </c>
      <c r="CC6" s="23" t="e">
        <f>IF(SUMPRODUCT($J$19:CB$19,$J6:CB6)&lt;0.5, "Pending", IF(CB6&lt;0.5, "Complete", "In Progress"))</f>
        <v>#REF!</v>
      </c>
      <c r="CD6" s="24"/>
      <c r="CE6" s="25">
        <f>SUMPRODUCT($H$19:AY$19,$H6:AY6)</f>
        <v>5</v>
      </c>
    </row>
    <row r="7" spans="1:83" x14ac:dyDescent="0.2">
      <c r="A7" s="16" t="s">
        <v>102</v>
      </c>
      <c r="B7" s="16" t="s">
        <v>106</v>
      </c>
      <c r="C7" s="16" t="s">
        <v>154</v>
      </c>
      <c r="D7" s="17">
        <v>4</v>
      </c>
      <c r="E7" s="157" t="s">
        <v>149</v>
      </c>
      <c r="F7" s="18" t="s">
        <v>137</v>
      </c>
      <c r="G7" s="19" t="str">
        <f t="shared" ca="1" si="0"/>
        <v>Complete</v>
      </c>
      <c r="H7" s="20">
        <v>1</v>
      </c>
      <c r="I7" s="21">
        <v>5</v>
      </c>
      <c r="J7" s="22">
        <v>2</v>
      </c>
      <c r="K7" s="22">
        <v>3</v>
      </c>
      <c r="L7" s="23" t="str">
        <f>IF(SUMPRODUCT($J$19:K$19,$J7:K7)&lt;0.5, "Pending", IF(K7&lt;0.5, "Complete", "In Progress"))</f>
        <v>In Progress</v>
      </c>
      <c r="M7" s="22">
        <v>2</v>
      </c>
      <c r="N7" s="22">
        <f t="shared" si="24"/>
        <v>1</v>
      </c>
      <c r="O7" s="23" t="str">
        <f>IF(SUMPRODUCT($J$19:N$19,$J7:N7)&lt;0.5, "Pending", IF(N7&lt;0.5, "Complete", "In Progress"))</f>
        <v>In Progress</v>
      </c>
      <c r="P7" s="22">
        <v>1</v>
      </c>
      <c r="Q7" s="22">
        <f t="shared" si="45"/>
        <v>0</v>
      </c>
      <c r="R7" s="23" t="str">
        <f>IF(SUMPRODUCT($J$19:Q$19,$J7:Q7)&lt;0.5, "Pending", IF(Q7&lt;0.5, "Complete", "In Progress"))</f>
        <v>Complete</v>
      </c>
      <c r="S7" s="22">
        <v>0</v>
      </c>
      <c r="T7" s="22">
        <f t="shared" si="25"/>
        <v>0</v>
      </c>
      <c r="U7" s="23" t="str">
        <f>IF(SUMPRODUCT($J$19:T$19,$J7:T7)&lt;0.5, "Pending", IF(T7&lt;0.5, "Complete", "In Progress"))</f>
        <v>Complete</v>
      </c>
      <c r="V7" s="22">
        <v>0</v>
      </c>
      <c r="W7" s="22">
        <f t="shared" si="26"/>
        <v>0</v>
      </c>
      <c r="X7" s="23" t="str">
        <f>IF(SUMPRODUCT($J$19:W$19,$J7:W7)&lt;0.5, "Pending", IF(W7&lt;0.5, "Complete", "In Progress"))</f>
        <v>Complete</v>
      </c>
      <c r="Y7" s="22">
        <v>0</v>
      </c>
      <c r="Z7" s="22">
        <f t="shared" si="27"/>
        <v>0</v>
      </c>
      <c r="AA7" s="23" t="str">
        <f>IF(SUMPRODUCT($J$19:Z$19,$J7:Z7)&lt;0.5, "Pending", IF(Z7&lt;0.5, "Complete", "In Progress"))</f>
        <v>Complete</v>
      </c>
      <c r="AB7" s="22">
        <v>0</v>
      </c>
      <c r="AC7" s="22">
        <f t="shared" si="28"/>
        <v>0</v>
      </c>
      <c r="AD7" s="23" t="str">
        <f>IF(SUMPRODUCT($J$19:AC$19,$J7:AC7)&lt;0.5, "Pending", IF(AC7&lt;0.5, "Complete", "In Progress"))</f>
        <v>Complete</v>
      </c>
      <c r="AE7" s="22">
        <v>0</v>
      </c>
      <c r="AF7" s="22">
        <f t="shared" si="29"/>
        <v>0</v>
      </c>
      <c r="AG7" s="23" t="str">
        <f>IF(SUMPRODUCT($J$19:AF$19,$J7:AF7)&lt;0.5, "Pending", IF(AF7&lt;0.5, "Complete", "In Progress"))</f>
        <v>Complete</v>
      </c>
      <c r="AH7" s="22">
        <v>0</v>
      </c>
      <c r="AI7" s="22">
        <f t="shared" si="30"/>
        <v>0</v>
      </c>
      <c r="AJ7" s="23" t="str">
        <f>IF(SUMPRODUCT($J$19:AI$19,$J7:AI7)&lt;0.5, "Pending", IF(AI7&lt;0.5, "Complete", "In Progress"))</f>
        <v>Complete</v>
      </c>
      <c r="AK7" s="22">
        <v>0</v>
      </c>
      <c r="AL7" s="22">
        <f t="shared" si="31"/>
        <v>0</v>
      </c>
      <c r="AM7" s="23" t="str">
        <f>IF(SUMPRODUCT($J$19:AL$19,$J7:AL7)&lt;0.5, "Pending", IF(AL7&lt;0.5, "Complete", "In Progress"))</f>
        <v>Complete</v>
      </c>
      <c r="AN7" s="22">
        <v>0</v>
      </c>
      <c r="AO7" s="22">
        <f t="shared" si="32"/>
        <v>0</v>
      </c>
      <c r="AP7" s="23" t="str">
        <f>IF(SUMPRODUCT($J$19:AO$19,$J7:AO7)&lt;0.5, "Pending", IF(AO7&lt;0.5, "Complete", "In Progress"))</f>
        <v>Complete</v>
      </c>
      <c r="AQ7" s="22">
        <v>0</v>
      </c>
      <c r="AR7" s="22">
        <f t="shared" si="33"/>
        <v>0</v>
      </c>
      <c r="AS7" s="23" t="str">
        <f>IF(SUMPRODUCT($J$19:AR$19,$J7:AR7)&lt;0.5, "Pending", IF(AR7&lt;0.5, "Complete", "In Progress"))</f>
        <v>Complete</v>
      </c>
      <c r="AT7" s="22">
        <v>0</v>
      </c>
      <c r="AU7" s="22">
        <f t="shared" si="34"/>
        <v>0</v>
      </c>
      <c r="AV7" s="23" t="str">
        <f>IF(SUMPRODUCT($J$19:AU$19,$J7:AU7)&lt;0.5, "Pending", IF(AU7&lt;0.5, "Complete", "In Progress"))</f>
        <v>Complete</v>
      </c>
      <c r="AW7" s="22">
        <v>0</v>
      </c>
      <c r="AX7" s="22">
        <f t="shared" si="35"/>
        <v>0</v>
      </c>
      <c r="AY7" s="23" t="str">
        <f>IF(SUMPRODUCT($J$19:AX$19,$J7:AX7)&lt;0.5,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IF(SUMPRODUCT($J$19:BA$19,$J7:BA7)&lt;0.5, "Pending", IF(BA7&lt;0.5, "Complete", "In Progress"))</f>
        <v>#REF!</v>
      </c>
      <c r="BC7" s="22">
        <v>0</v>
      </c>
      <c r="BD7" s="22" t="e">
        <f t="shared" si="36"/>
        <v>#REF!</v>
      </c>
      <c r="BE7" s="23" t="e">
        <f>IF(SUMPRODUCT($J$19:BD$19,$J7:BD7)&lt;0.5, "Pending", IF(BD7&lt;0.5, "Complete", "In Progress"))</f>
        <v>#REF!</v>
      </c>
      <c r="BF7" s="22">
        <v>0</v>
      </c>
      <c r="BG7" s="22" t="e">
        <f t="shared" si="37"/>
        <v>#REF!</v>
      </c>
      <c r="BH7" s="23" t="e">
        <f>IF(SUMPRODUCT($J$19:BG$19,$J7:BG7)&lt;0.5, "Pending", IF(BG7&lt;0.5, "Complete", "In Progress"))</f>
        <v>#REF!</v>
      </c>
      <c r="BI7" s="22">
        <v>0</v>
      </c>
      <c r="BJ7" s="22" t="e">
        <f t="shared" si="38"/>
        <v>#REF!</v>
      </c>
      <c r="BK7" s="23" t="e">
        <f>IF(SUMPRODUCT($J$19:BJ$19,$J7:BJ7)&lt;0.5, "Pending", IF(BJ7&lt;0.5, "Complete", "In Progress"))</f>
        <v>#REF!</v>
      </c>
      <c r="BL7" s="22">
        <v>0</v>
      </c>
      <c r="BM7" s="22" t="e">
        <f t="shared" si="39"/>
        <v>#REF!</v>
      </c>
      <c r="BN7" s="23" t="e">
        <f>IF(SUMPRODUCT($J$19:BM$19,$J7:BM7)&lt;0.5, "Pending", IF(BM7&lt;0.5, "Complete", "In Progress"))</f>
        <v>#REF!</v>
      </c>
      <c r="BO7" s="22">
        <v>0</v>
      </c>
      <c r="BP7" s="22" t="e">
        <f t="shared" si="40"/>
        <v>#REF!</v>
      </c>
      <c r="BQ7" s="23" t="e">
        <f>IF(SUMPRODUCT($J$19:BP$19,$J7:BP7)&lt;0.5, "Pending", IF(BP7&lt;0.5, "Complete", "In Progress"))</f>
        <v>#REF!</v>
      </c>
      <c r="BR7" s="22">
        <v>0</v>
      </c>
      <c r="BS7" s="22" t="e">
        <f t="shared" si="41"/>
        <v>#REF!</v>
      </c>
      <c r="BT7" s="23" t="e">
        <f>IF(SUMPRODUCT($J$19:BS$19,$J7:BS7)&lt;0.5, "Pending", IF(BS7&lt;0.5, "Complete", "In Progress"))</f>
        <v>#REF!</v>
      </c>
      <c r="BU7" s="22">
        <v>0</v>
      </c>
      <c r="BV7" s="22" t="e">
        <f t="shared" si="42"/>
        <v>#REF!</v>
      </c>
      <c r="BW7" s="23" t="e">
        <f>IF(SUMPRODUCT($J$19:BV$19,$J7:BV7)&lt;0.5, "Pending", IF(BV7&lt;0.5, "Complete", "In Progress"))</f>
        <v>#REF!</v>
      </c>
      <c r="BX7" s="22">
        <v>0</v>
      </c>
      <c r="BY7" s="22" t="e">
        <f t="shared" si="43"/>
        <v>#REF!</v>
      </c>
      <c r="BZ7" s="23" t="e">
        <f>IF(SUMPRODUCT($J$19:BY$19,$J7:BY7)&lt;0.5, "Pending", IF(BY7&lt;0.5, "Complete", "In Progress"))</f>
        <v>#REF!</v>
      </c>
      <c r="CA7" s="22">
        <v>0</v>
      </c>
      <c r="CB7" s="22" t="e">
        <f t="shared" si="44"/>
        <v>#REF!</v>
      </c>
      <c r="CC7" s="23" t="e">
        <f>IF(SUMPRODUCT($J$19:CB$19,$J7:CB7)&lt;0.5, "Pending", IF(CB7&lt;0.5, "Complete", "In Progress"))</f>
        <v>#REF!</v>
      </c>
      <c r="CD7" s="24"/>
      <c r="CE7" s="25">
        <f>SUMPRODUCT($H$19:AY$19,$H7:AY7)</f>
        <v>5</v>
      </c>
    </row>
    <row r="8" spans="1:83" x14ac:dyDescent="0.2">
      <c r="A8" s="16" t="s">
        <v>103</v>
      </c>
      <c r="B8" s="16" t="s">
        <v>119</v>
      </c>
      <c r="C8" s="16" t="s">
        <v>157</v>
      </c>
      <c r="D8" s="17">
        <v>5</v>
      </c>
      <c r="E8" s="157" t="s">
        <v>150</v>
      </c>
      <c r="F8" s="18" t="s">
        <v>139</v>
      </c>
      <c r="G8" s="19" t="str">
        <f t="shared" ca="1" si="0"/>
        <v>Complete</v>
      </c>
      <c r="H8" s="20">
        <v>1</v>
      </c>
      <c r="I8" s="21">
        <v>5</v>
      </c>
      <c r="J8" s="22">
        <v>2</v>
      </c>
      <c r="K8" s="22">
        <v>3</v>
      </c>
      <c r="L8" s="23" t="str">
        <f>IF(SUMPRODUCT($J$19:K$19,$J8:K8)&lt;0.5, "Pending", IF(K8&lt;0.5, "Complete", "In Progress"))</f>
        <v>In Progress</v>
      </c>
      <c r="M8" s="22">
        <v>2</v>
      </c>
      <c r="N8" s="22">
        <f t="shared" si="24"/>
        <v>1</v>
      </c>
      <c r="O8" s="23" t="str">
        <f>IF(SUMPRODUCT($J$19:N$19,$J8:N8)&lt;0.5, "Pending", IF(N8&lt;0.5, "Complete", "In Progress"))</f>
        <v>In Progress</v>
      </c>
      <c r="P8" s="22">
        <v>1</v>
      </c>
      <c r="Q8" s="22">
        <f t="shared" si="45"/>
        <v>0</v>
      </c>
      <c r="R8" s="23" t="str">
        <f>IF(SUMPRODUCT($J$19:Q$19,$J8:Q8)&lt;0.5, "Pending", IF(Q8&lt;0.5, "Complete", "In Progress"))</f>
        <v>Complete</v>
      </c>
      <c r="S8" s="22">
        <v>0</v>
      </c>
      <c r="T8" s="22">
        <f t="shared" si="25"/>
        <v>0</v>
      </c>
      <c r="U8" s="23" t="str">
        <f>IF(SUMPRODUCT($J$19:T$19,$J8:T8)&lt;0.5, "Pending", IF(T8&lt;0.5, "Complete", "In Progress"))</f>
        <v>Complete</v>
      </c>
      <c r="V8" s="22">
        <v>0</v>
      </c>
      <c r="W8" s="22">
        <f t="shared" si="26"/>
        <v>0</v>
      </c>
      <c r="X8" s="23" t="str">
        <f>IF(SUMPRODUCT($J$19:W$19,$J8:W8)&lt;0.5, "Pending", IF(W8&lt;0.5, "Complete", "In Progress"))</f>
        <v>Complete</v>
      </c>
      <c r="Y8" s="22">
        <v>0</v>
      </c>
      <c r="Z8" s="22">
        <f t="shared" si="27"/>
        <v>0</v>
      </c>
      <c r="AA8" s="23" t="str">
        <f>IF(SUMPRODUCT($J$19:Z$19,$J8:Z8)&lt;0.5, "Pending", IF(Z8&lt;0.5, "Complete", "In Progress"))</f>
        <v>Complete</v>
      </c>
      <c r="AB8" s="22">
        <v>0</v>
      </c>
      <c r="AC8" s="22">
        <f t="shared" si="28"/>
        <v>0</v>
      </c>
      <c r="AD8" s="23" t="str">
        <f>IF(SUMPRODUCT($J$19:AC$19,$J8:AC8)&lt;0.5, "Pending", IF(AC8&lt;0.5, "Complete", "In Progress"))</f>
        <v>Complete</v>
      </c>
      <c r="AE8" s="22">
        <v>0</v>
      </c>
      <c r="AF8" s="22">
        <f t="shared" si="29"/>
        <v>0</v>
      </c>
      <c r="AG8" s="23" t="str">
        <f>IF(SUMPRODUCT($J$19:AF$19,$J8:AF8)&lt;0.5, "Pending", IF(AF8&lt;0.5, "Complete", "In Progress"))</f>
        <v>Complete</v>
      </c>
      <c r="AH8" s="22">
        <v>0</v>
      </c>
      <c r="AI8" s="22">
        <f t="shared" si="30"/>
        <v>0</v>
      </c>
      <c r="AJ8" s="23" t="str">
        <f>IF(SUMPRODUCT($J$19:AI$19,$J8:AI8)&lt;0.5, "Pending", IF(AI8&lt;0.5, "Complete", "In Progress"))</f>
        <v>Complete</v>
      </c>
      <c r="AK8" s="22">
        <v>0</v>
      </c>
      <c r="AL8" s="22">
        <f t="shared" si="31"/>
        <v>0</v>
      </c>
      <c r="AM8" s="23" t="str">
        <f>IF(SUMPRODUCT($J$19:AL$19,$J8:AL8)&lt;0.5, "Pending", IF(AL8&lt;0.5, "Complete", "In Progress"))</f>
        <v>Complete</v>
      </c>
      <c r="AN8" s="22">
        <v>0</v>
      </c>
      <c r="AO8" s="22">
        <f t="shared" si="32"/>
        <v>0</v>
      </c>
      <c r="AP8" s="23" t="str">
        <f>IF(SUMPRODUCT($J$19:AO$19,$J8:AO8)&lt;0.5, "Pending", IF(AO8&lt;0.5, "Complete", "In Progress"))</f>
        <v>Complete</v>
      </c>
      <c r="AQ8" s="22">
        <v>0</v>
      </c>
      <c r="AR8" s="22">
        <f t="shared" si="33"/>
        <v>0</v>
      </c>
      <c r="AS8" s="23" t="str">
        <f>IF(SUMPRODUCT($J$19:AR$19,$J8:AR8)&lt;0.5, "Pending", IF(AR8&lt;0.5, "Complete", "In Progress"))</f>
        <v>Complete</v>
      </c>
      <c r="AT8" s="22">
        <v>0</v>
      </c>
      <c r="AU8" s="22">
        <f t="shared" si="34"/>
        <v>0</v>
      </c>
      <c r="AV8" s="23" t="str">
        <f>IF(SUMPRODUCT($J$19:AU$19,$J8:AU8)&lt;0.5, "Pending", IF(AU8&lt;0.5, "Complete", "In Progress"))</f>
        <v>Complete</v>
      </c>
      <c r="AW8" s="22">
        <v>0</v>
      </c>
      <c r="AX8" s="22">
        <f t="shared" si="35"/>
        <v>0</v>
      </c>
      <c r="AY8" s="23" t="str">
        <f>IF(SUMPRODUCT($J$19:AX$19,$J8:AX8)&lt;0.5,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IF(SUMPRODUCT($J$19:BA$19,$J8:BA8)&lt;0.5, "Pending", IF(BA8&lt;0.5, "Complete", "In Progress"))</f>
        <v>#REF!</v>
      </c>
      <c r="BC8" s="22">
        <v>0</v>
      </c>
      <c r="BD8" s="22" t="e">
        <f t="shared" si="36"/>
        <v>#REF!</v>
      </c>
      <c r="BE8" s="23" t="e">
        <f>IF(SUMPRODUCT($J$19:BD$19,$J8:BD8)&lt;0.5, "Pending", IF(BD8&lt;0.5, "Complete", "In Progress"))</f>
        <v>#REF!</v>
      </c>
      <c r="BF8" s="22">
        <v>0</v>
      </c>
      <c r="BG8" s="22" t="e">
        <f t="shared" si="37"/>
        <v>#REF!</v>
      </c>
      <c r="BH8" s="23" t="e">
        <f>IF(SUMPRODUCT($J$19:BG$19,$J8:BG8)&lt;0.5, "Pending", IF(BG8&lt;0.5, "Complete", "In Progress"))</f>
        <v>#REF!</v>
      </c>
      <c r="BI8" s="22">
        <v>0</v>
      </c>
      <c r="BJ8" s="22" t="e">
        <f t="shared" si="38"/>
        <v>#REF!</v>
      </c>
      <c r="BK8" s="23" t="e">
        <f>IF(SUMPRODUCT($J$19:BJ$19,$J8:BJ8)&lt;0.5, "Pending", IF(BJ8&lt;0.5, "Complete", "In Progress"))</f>
        <v>#REF!</v>
      </c>
      <c r="BL8" s="22">
        <v>0</v>
      </c>
      <c r="BM8" s="22" t="e">
        <f t="shared" si="39"/>
        <v>#REF!</v>
      </c>
      <c r="BN8" s="23" t="e">
        <f>IF(SUMPRODUCT($J$19:BM$19,$J8:BM8)&lt;0.5, "Pending", IF(BM8&lt;0.5, "Complete", "In Progress"))</f>
        <v>#REF!</v>
      </c>
      <c r="BO8" s="22">
        <v>0</v>
      </c>
      <c r="BP8" s="22" t="e">
        <f t="shared" si="40"/>
        <v>#REF!</v>
      </c>
      <c r="BQ8" s="23" t="e">
        <f>IF(SUMPRODUCT($J$19:BP$19,$J8:BP8)&lt;0.5, "Pending", IF(BP8&lt;0.5, "Complete", "In Progress"))</f>
        <v>#REF!</v>
      </c>
      <c r="BR8" s="22">
        <v>0</v>
      </c>
      <c r="BS8" s="22" t="e">
        <f t="shared" si="41"/>
        <v>#REF!</v>
      </c>
      <c r="BT8" s="23" t="e">
        <f>IF(SUMPRODUCT($J$19:BS$19,$J8:BS8)&lt;0.5, "Pending", IF(BS8&lt;0.5, "Complete", "In Progress"))</f>
        <v>#REF!</v>
      </c>
      <c r="BU8" s="22">
        <v>0</v>
      </c>
      <c r="BV8" s="22" t="e">
        <f t="shared" si="42"/>
        <v>#REF!</v>
      </c>
      <c r="BW8" s="23" t="e">
        <f>IF(SUMPRODUCT($J$19:BV$19,$J8:BV8)&lt;0.5, "Pending", IF(BV8&lt;0.5, "Complete", "In Progress"))</f>
        <v>#REF!</v>
      </c>
      <c r="BX8" s="22">
        <v>0</v>
      </c>
      <c r="BY8" s="22" t="e">
        <f t="shared" si="43"/>
        <v>#REF!</v>
      </c>
      <c r="BZ8" s="23" t="e">
        <f>IF(SUMPRODUCT($J$19:BY$19,$J8:BY8)&lt;0.5, "Pending", IF(BY8&lt;0.5, "Complete", "In Progress"))</f>
        <v>#REF!</v>
      </c>
      <c r="CA8" s="22">
        <v>0</v>
      </c>
      <c r="CB8" s="22" t="e">
        <f t="shared" si="44"/>
        <v>#REF!</v>
      </c>
      <c r="CC8" s="23" t="e">
        <f>IF(SUMPRODUCT($J$19:CB$19,$J8:CB8)&lt;0.5, "Pending", IF(CB8&lt;0.5, "Complete", "In Progress"))</f>
        <v>#REF!</v>
      </c>
      <c r="CD8" s="24"/>
      <c r="CE8" s="25">
        <f>SUMPRODUCT($H$19:AY$19,$H8:AY8)</f>
        <v>5</v>
      </c>
    </row>
    <row r="9" spans="1:83" x14ac:dyDescent="0.2">
      <c r="A9" s="16" t="s">
        <v>103</v>
      </c>
      <c r="B9" s="16" t="s">
        <v>119</v>
      </c>
      <c r="C9" s="16" t="s">
        <v>155</v>
      </c>
      <c r="D9" s="17">
        <v>6</v>
      </c>
      <c r="E9" s="157" t="s">
        <v>150</v>
      </c>
      <c r="F9" s="18" t="s">
        <v>142</v>
      </c>
      <c r="G9" s="19" t="str">
        <f t="shared" ca="1" si="0"/>
        <v>Complete</v>
      </c>
      <c r="H9" s="20">
        <v>1</v>
      </c>
      <c r="I9" s="21">
        <v>5</v>
      </c>
      <c r="J9" s="22">
        <v>2</v>
      </c>
      <c r="K9" s="22">
        <v>3</v>
      </c>
      <c r="L9" s="23" t="str">
        <f>IF(SUMPRODUCT($J$19:K$19,$J9:K9)&lt;0.5, "Pending", IF(K9&lt;0.5, "Complete", "In Progress"))</f>
        <v>In Progress</v>
      </c>
      <c r="M9" s="22">
        <v>2</v>
      </c>
      <c r="N9" s="22">
        <f t="shared" si="24"/>
        <v>1</v>
      </c>
      <c r="O9" s="23" t="str">
        <f>IF(SUMPRODUCT($J$19:N$19,$J9:N9)&lt;0.5, "Pending", IF(N9&lt;0.5, "Complete", "In Progress"))</f>
        <v>In Progress</v>
      </c>
      <c r="P9" s="22">
        <v>1</v>
      </c>
      <c r="Q9" s="22">
        <f t="shared" si="45"/>
        <v>0</v>
      </c>
      <c r="R9" s="23" t="str">
        <f>IF(SUMPRODUCT($J$19:Q$19,$J9:Q9)&lt;0.5, "Pending", IF(Q9&lt;0.5, "Complete", "In Progress"))</f>
        <v>Complete</v>
      </c>
      <c r="S9" s="22">
        <v>0</v>
      </c>
      <c r="T9" s="22">
        <f t="shared" si="25"/>
        <v>0</v>
      </c>
      <c r="U9" s="23" t="str">
        <f>IF(SUMPRODUCT($J$19:T$19,$J9:T9)&lt;0.5, "Pending", IF(T9&lt;0.5, "Complete", "In Progress"))</f>
        <v>Complete</v>
      </c>
      <c r="V9" s="22">
        <v>0</v>
      </c>
      <c r="W9" s="22">
        <f t="shared" si="26"/>
        <v>0</v>
      </c>
      <c r="X9" s="23" t="str">
        <f>IF(SUMPRODUCT($J$19:W$19,$J9:W9)&lt;0.5, "Pending", IF(W9&lt;0.5, "Complete", "In Progress"))</f>
        <v>Complete</v>
      </c>
      <c r="Y9" s="22">
        <v>0</v>
      </c>
      <c r="Z9" s="22">
        <f t="shared" si="27"/>
        <v>0</v>
      </c>
      <c r="AA9" s="23" t="str">
        <f>IF(SUMPRODUCT($J$19:Z$19,$J9:Z9)&lt;0.5, "Pending", IF(Z9&lt;0.5, "Complete", "In Progress"))</f>
        <v>Complete</v>
      </c>
      <c r="AB9" s="22">
        <v>0</v>
      </c>
      <c r="AC9" s="22">
        <f t="shared" si="28"/>
        <v>0</v>
      </c>
      <c r="AD9" s="23" t="str">
        <f>IF(SUMPRODUCT($J$19:AC$19,$J9:AC9)&lt;0.5, "Pending", IF(AC9&lt;0.5, "Complete", "In Progress"))</f>
        <v>Complete</v>
      </c>
      <c r="AE9" s="22">
        <v>0</v>
      </c>
      <c r="AF9" s="22">
        <f t="shared" si="29"/>
        <v>0</v>
      </c>
      <c r="AG9" s="23" t="str">
        <f>IF(SUMPRODUCT($J$19:AF$19,$J9:AF9)&lt;0.5, "Pending", IF(AF9&lt;0.5, "Complete", "In Progress"))</f>
        <v>Complete</v>
      </c>
      <c r="AH9" s="22">
        <v>0</v>
      </c>
      <c r="AI9" s="22">
        <f t="shared" si="30"/>
        <v>0</v>
      </c>
      <c r="AJ9" s="23" t="str">
        <f>IF(SUMPRODUCT($J$19:AI$19,$J9:AI9)&lt;0.5, "Pending", IF(AI9&lt;0.5, "Complete", "In Progress"))</f>
        <v>Complete</v>
      </c>
      <c r="AK9" s="22">
        <v>0</v>
      </c>
      <c r="AL9" s="22">
        <f t="shared" si="31"/>
        <v>0</v>
      </c>
      <c r="AM9" s="23" t="str">
        <f>IF(SUMPRODUCT($J$19:AL$19,$J9:AL9)&lt;0.5, "Pending", IF(AL9&lt;0.5, "Complete", "In Progress"))</f>
        <v>Complete</v>
      </c>
      <c r="AN9" s="22">
        <v>0</v>
      </c>
      <c r="AO9" s="22">
        <f t="shared" si="32"/>
        <v>0</v>
      </c>
      <c r="AP9" s="23" t="str">
        <f>IF(SUMPRODUCT($J$19:AO$19,$J9:AO9)&lt;0.5, "Pending", IF(AO9&lt;0.5, "Complete", "In Progress"))</f>
        <v>Complete</v>
      </c>
      <c r="AQ9" s="22">
        <v>0</v>
      </c>
      <c r="AR9" s="22">
        <f t="shared" si="33"/>
        <v>0</v>
      </c>
      <c r="AS9" s="23" t="str">
        <f>IF(SUMPRODUCT($J$19:AR$19,$J9:AR9)&lt;0.5, "Pending", IF(AR9&lt;0.5, "Complete", "In Progress"))</f>
        <v>Complete</v>
      </c>
      <c r="AT9" s="22">
        <v>0</v>
      </c>
      <c r="AU9" s="22">
        <f t="shared" si="34"/>
        <v>0</v>
      </c>
      <c r="AV9" s="23" t="str">
        <f>IF(SUMPRODUCT($J$19:AU$19,$J9:AU9)&lt;0.5, "Pending", IF(AU9&lt;0.5, "Complete", "In Progress"))</f>
        <v>Complete</v>
      </c>
      <c r="AW9" s="22">
        <v>0</v>
      </c>
      <c r="AX9" s="22">
        <f t="shared" si="35"/>
        <v>0</v>
      </c>
      <c r="AY9" s="23" t="str">
        <f>IF(SUMPRODUCT($J$19:AX$19,$J9:AX9)&lt;0.5,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IF(SUMPRODUCT($J$19:BA$19,$J9:BA9)&lt;0.5, "Pending", IF(BA9&lt;0.5, "Complete", "In Progress"))</f>
        <v>#REF!</v>
      </c>
      <c r="BC9" s="22">
        <v>0</v>
      </c>
      <c r="BD9" s="22" t="e">
        <f t="shared" si="36"/>
        <v>#REF!</v>
      </c>
      <c r="BE9" s="23" t="e">
        <f>IF(SUMPRODUCT($J$19:BD$19,$J9:BD9)&lt;0.5, "Pending", IF(BD9&lt;0.5, "Complete", "In Progress"))</f>
        <v>#REF!</v>
      </c>
      <c r="BF9" s="22">
        <v>0</v>
      </c>
      <c r="BG9" s="22" t="e">
        <f t="shared" si="37"/>
        <v>#REF!</v>
      </c>
      <c r="BH9" s="23" t="e">
        <f>IF(SUMPRODUCT($J$19:BG$19,$J9:BG9)&lt;0.5, "Pending", IF(BG9&lt;0.5, "Complete", "In Progress"))</f>
        <v>#REF!</v>
      </c>
      <c r="BI9" s="22">
        <v>0</v>
      </c>
      <c r="BJ9" s="22" t="e">
        <f t="shared" si="38"/>
        <v>#REF!</v>
      </c>
      <c r="BK9" s="23" t="e">
        <f>IF(SUMPRODUCT($J$19:BJ$19,$J9:BJ9)&lt;0.5, "Pending", IF(BJ9&lt;0.5, "Complete", "In Progress"))</f>
        <v>#REF!</v>
      </c>
      <c r="BL9" s="22">
        <v>0</v>
      </c>
      <c r="BM9" s="22" t="e">
        <f t="shared" si="39"/>
        <v>#REF!</v>
      </c>
      <c r="BN9" s="23" t="e">
        <f>IF(SUMPRODUCT($J$19:BM$19,$J9:BM9)&lt;0.5, "Pending", IF(BM9&lt;0.5, "Complete", "In Progress"))</f>
        <v>#REF!</v>
      </c>
      <c r="BO9" s="22">
        <v>0</v>
      </c>
      <c r="BP9" s="22" t="e">
        <f t="shared" si="40"/>
        <v>#REF!</v>
      </c>
      <c r="BQ9" s="23" t="e">
        <f>IF(SUMPRODUCT($J$19:BP$19,$J9:BP9)&lt;0.5, "Pending", IF(BP9&lt;0.5, "Complete", "In Progress"))</f>
        <v>#REF!</v>
      </c>
      <c r="BR9" s="22">
        <v>0</v>
      </c>
      <c r="BS9" s="22" t="e">
        <f t="shared" si="41"/>
        <v>#REF!</v>
      </c>
      <c r="BT9" s="23" t="e">
        <f>IF(SUMPRODUCT($J$19:BS$19,$J9:BS9)&lt;0.5, "Pending", IF(BS9&lt;0.5, "Complete", "In Progress"))</f>
        <v>#REF!</v>
      </c>
      <c r="BU9" s="22">
        <v>0</v>
      </c>
      <c r="BV9" s="22" t="e">
        <f t="shared" si="42"/>
        <v>#REF!</v>
      </c>
      <c r="BW9" s="23" t="e">
        <f>IF(SUMPRODUCT($J$19:BV$19,$J9:BV9)&lt;0.5, "Pending", IF(BV9&lt;0.5, "Complete", "In Progress"))</f>
        <v>#REF!</v>
      </c>
      <c r="BX9" s="22">
        <v>0</v>
      </c>
      <c r="BY9" s="22" t="e">
        <f t="shared" si="43"/>
        <v>#REF!</v>
      </c>
      <c r="BZ9" s="23" t="e">
        <f>IF(SUMPRODUCT($J$19:BY$19,$J9:BY9)&lt;0.5, "Pending", IF(BY9&lt;0.5, "Complete", "In Progress"))</f>
        <v>#REF!</v>
      </c>
      <c r="CA9" s="22">
        <v>0</v>
      </c>
      <c r="CB9" s="22" t="e">
        <f t="shared" si="44"/>
        <v>#REF!</v>
      </c>
      <c r="CC9" s="23" t="e">
        <f>IF(SUMPRODUCT($J$19:CB$19,$J9:CB9)&lt;0.5, "Pending", IF(CB9&lt;0.5, "Complete", "In Progress"))</f>
        <v>#REF!</v>
      </c>
      <c r="CD9" s="24"/>
      <c r="CE9" s="25">
        <f>SUMPRODUCT($H$19:AY$19,$H9:AY9)</f>
        <v>5</v>
      </c>
    </row>
    <row r="10" spans="1:83" x14ac:dyDescent="0.2">
      <c r="A10" s="16" t="s">
        <v>102</v>
      </c>
      <c r="B10" s="16" t="s">
        <v>118</v>
      </c>
      <c r="C10" s="183" t="s">
        <v>156</v>
      </c>
      <c r="D10" s="17">
        <v>7</v>
      </c>
      <c r="E10" s="157" t="s">
        <v>144</v>
      </c>
      <c r="F10" s="18" t="s">
        <v>139</v>
      </c>
      <c r="G10" s="19" t="str">
        <f t="shared" ca="1" si="0"/>
        <v>Complete</v>
      </c>
      <c r="H10" s="20">
        <v>1</v>
      </c>
      <c r="I10" s="21">
        <v>5</v>
      </c>
      <c r="J10" s="22">
        <v>0</v>
      </c>
      <c r="K10" s="22">
        <v>5</v>
      </c>
      <c r="L10" s="23" t="str">
        <f>IF(SUMPRODUCT($J$19:K$19,$J10:K10)&lt;0.5, "Pending", IF(K10&lt;0.5, "Complete", "In Progress"))</f>
        <v>Pending</v>
      </c>
      <c r="M10" s="22">
        <v>0</v>
      </c>
      <c r="N10" s="22">
        <f t="shared" si="24"/>
        <v>5</v>
      </c>
      <c r="O10" s="23" t="str">
        <f>IF(SUMPRODUCT($J$19:N$19,$J10:N10)&lt;0.5, "Pending", IF(N10&lt;0.5, "Complete", "In Progress"))</f>
        <v>Pending</v>
      </c>
      <c r="P10" s="22">
        <v>1</v>
      </c>
      <c r="Q10" s="22">
        <f t="shared" si="45"/>
        <v>4</v>
      </c>
      <c r="R10" s="23" t="str">
        <f>IF(SUMPRODUCT($J$19:Q$19,$J10:Q10)&lt;0.5, "Pending", IF(Q10&lt;0.5, "Complete", "In Progress"))</f>
        <v>In Progress</v>
      </c>
      <c r="S10" s="22">
        <v>2</v>
      </c>
      <c r="T10" s="22">
        <f t="shared" si="25"/>
        <v>2</v>
      </c>
      <c r="U10" s="23" t="str">
        <f>IF(SUMPRODUCT($J$19:T$19,$J10:T10)&lt;0.5, "Pending", IF(T10&lt;0.5, "Complete", "In Progress"))</f>
        <v>In Progress</v>
      </c>
      <c r="V10" s="22">
        <v>2</v>
      </c>
      <c r="W10" s="22">
        <f t="shared" si="26"/>
        <v>0</v>
      </c>
      <c r="X10" s="23" t="str">
        <f>IF(SUMPRODUCT($J$19:W$19,$J10:W10)&lt;0.5, "Pending", IF(W10&lt;0.5, "Complete", "In Progress"))</f>
        <v>Complete</v>
      </c>
      <c r="Y10" s="22">
        <v>0</v>
      </c>
      <c r="Z10" s="22">
        <f t="shared" si="27"/>
        <v>0</v>
      </c>
      <c r="AA10" s="23" t="str">
        <f>IF(SUMPRODUCT($J$19:Z$19,$J10:Z10)&lt;0.5, "Pending", IF(Z10&lt;0.5, "Complete", "In Progress"))</f>
        <v>Complete</v>
      </c>
      <c r="AB10" s="22">
        <v>0</v>
      </c>
      <c r="AC10" s="22">
        <f t="shared" si="28"/>
        <v>0</v>
      </c>
      <c r="AD10" s="23" t="str">
        <f>IF(SUMPRODUCT($J$19:AC$19,$J10:AC10)&lt;0.5, "Pending", IF(AC10&lt;0.5, "Complete", "In Progress"))</f>
        <v>Complete</v>
      </c>
      <c r="AE10" s="22">
        <v>0</v>
      </c>
      <c r="AF10" s="22">
        <f t="shared" si="29"/>
        <v>0</v>
      </c>
      <c r="AG10" s="23" t="str">
        <f>IF(SUMPRODUCT($J$19:AF$19,$J10:AF10)&lt;0.5, "Pending", IF(AF10&lt;0.5, "Complete", "In Progress"))</f>
        <v>Complete</v>
      </c>
      <c r="AH10" s="22">
        <v>0</v>
      </c>
      <c r="AI10" s="22">
        <f t="shared" si="30"/>
        <v>0</v>
      </c>
      <c r="AJ10" s="23" t="str">
        <f>IF(SUMPRODUCT($J$19:AI$19,$J10:AI10)&lt;0.5, "Pending", IF(AI10&lt;0.5, "Complete", "In Progress"))</f>
        <v>Complete</v>
      </c>
      <c r="AK10" s="22">
        <v>0</v>
      </c>
      <c r="AL10" s="22">
        <f t="shared" si="31"/>
        <v>0</v>
      </c>
      <c r="AM10" s="23" t="str">
        <f>IF(SUMPRODUCT($J$19:AL$19,$J10:AL10)&lt;0.5, "Pending", IF(AL10&lt;0.5, "Complete", "In Progress"))</f>
        <v>Complete</v>
      </c>
      <c r="AN10" s="22">
        <v>0</v>
      </c>
      <c r="AO10" s="22">
        <f t="shared" si="32"/>
        <v>0</v>
      </c>
      <c r="AP10" s="23" t="str">
        <f>IF(SUMPRODUCT($J$19:AO$19,$J10:AO10)&lt;0.5, "Pending", IF(AO10&lt;0.5, "Complete", "In Progress"))</f>
        <v>Complete</v>
      </c>
      <c r="AQ10" s="22">
        <v>0</v>
      </c>
      <c r="AR10" s="22">
        <f t="shared" si="33"/>
        <v>0</v>
      </c>
      <c r="AS10" s="23" t="str">
        <f>IF(SUMPRODUCT($J$19:AR$19,$J10:AR10)&lt;0.5, "Pending", IF(AR10&lt;0.5, "Complete", "In Progress"))</f>
        <v>Complete</v>
      </c>
      <c r="AT10" s="22">
        <v>0</v>
      </c>
      <c r="AU10" s="22">
        <f t="shared" si="34"/>
        <v>0</v>
      </c>
      <c r="AV10" s="23" t="str">
        <f>IF(SUMPRODUCT($J$19:AU$19,$J10:AU10)&lt;0.5, "Pending", IF(AU10&lt;0.5, "Complete", "In Progress"))</f>
        <v>Complete</v>
      </c>
      <c r="AW10" s="22">
        <v>0</v>
      </c>
      <c r="AX10" s="22">
        <f t="shared" si="35"/>
        <v>0</v>
      </c>
      <c r="AY10" s="23" t="str">
        <f>IF(SUMPRODUCT($J$19:AX$19,$J10:AX10)&lt;0.5,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IF(SUMPRODUCT($J$19:BA$19,$J10:BA10)&lt;0.5, "Pending", IF(BA10&lt;0.5, "Complete", "In Progress"))</f>
        <v>#REF!</v>
      </c>
      <c r="BC10" s="22">
        <v>0</v>
      </c>
      <c r="BD10" s="22" t="e">
        <f t="shared" si="36"/>
        <v>#REF!</v>
      </c>
      <c r="BE10" s="23" t="e">
        <f>IF(SUMPRODUCT($J$19:BD$19,$J10:BD10)&lt;0.5, "Pending", IF(BD10&lt;0.5, "Complete", "In Progress"))</f>
        <v>#REF!</v>
      </c>
      <c r="BF10" s="22">
        <v>0</v>
      </c>
      <c r="BG10" s="22" t="e">
        <f t="shared" si="37"/>
        <v>#REF!</v>
      </c>
      <c r="BH10" s="23" t="e">
        <f>IF(SUMPRODUCT($J$19:BG$19,$J10:BG10)&lt;0.5, "Pending", IF(BG10&lt;0.5, "Complete", "In Progress"))</f>
        <v>#REF!</v>
      </c>
      <c r="BI10" s="22">
        <v>0</v>
      </c>
      <c r="BJ10" s="22" t="e">
        <f t="shared" si="38"/>
        <v>#REF!</v>
      </c>
      <c r="BK10" s="23" t="e">
        <f>IF(SUMPRODUCT($J$19:BJ$19,$J10:BJ10)&lt;0.5, "Pending", IF(BJ10&lt;0.5, "Complete", "In Progress"))</f>
        <v>#REF!</v>
      </c>
      <c r="BL10" s="22">
        <v>0</v>
      </c>
      <c r="BM10" s="22" t="e">
        <f t="shared" si="39"/>
        <v>#REF!</v>
      </c>
      <c r="BN10" s="23" t="e">
        <f>IF(SUMPRODUCT($J$19:BM$19,$J10:BM10)&lt;0.5, "Pending", IF(BM10&lt;0.5, "Complete", "In Progress"))</f>
        <v>#REF!</v>
      </c>
      <c r="BO10" s="22">
        <v>0</v>
      </c>
      <c r="BP10" s="22" t="e">
        <f t="shared" si="40"/>
        <v>#REF!</v>
      </c>
      <c r="BQ10" s="23" t="e">
        <f>IF(SUMPRODUCT($J$19:BP$19,$J10:BP10)&lt;0.5, "Pending", IF(BP10&lt;0.5, "Complete", "In Progress"))</f>
        <v>#REF!</v>
      </c>
      <c r="BR10" s="22">
        <v>0</v>
      </c>
      <c r="BS10" s="22" t="e">
        <f t="shared" si="41"/>
        <v>#REF!</v>
      </c>
      <c r="BT10" s="23" t="e">
        <f>IF(SUMPRODUCT($J$19:BS$19,$J10:BS10)&lt;0.5, "Pending", IF(BS10&lt;0.5, "Complete", "In Progress"))</f>
        <v>#REF!</v>
      </c>
      <c r="BU10" s="22">
        <v>0</v>
      </c>
      <c r="BV10" s="22" t="e">
        <f t="shared" si="42"/>
        <v>#REF!</v>
      </c>
      <c r="BW10" s="23" t="e">
        <f>IF(SUMPRODUCT($J$19:BV$19,$J10:BV10)&lt;0.5, "Pending", IF(BV10&lt;0.5, "Complete", "In Progress"))</f>
        <v>#REF!</v>
      </c>
      <c r="BX10" s="22">
        <v>0</v>
      </c>
      <c r="BY10" s="22" t="e">
        <f t="shared" si="43"/>
        <v>#REF!</v>
      </c>
      <c r="BZ10" s="23" t="e">
        <f>IF(SUMPRODUCT($J$19:BY$19,$J10:BY10)&lt;0.5, "Pending", IF(BY10&lt;0.5, "Complete", "In Progress"))</f>
        <v>#REF!</v>
      </c>
      <c r="CA10" s="22">
        <v>0</v>
      </c>
      <c r="CB10" s="22" t="e">
        <f t="shared" si="44"/>
        <v>#REF!</v>
      </c>
      <c r="CC10" s="23" t="e">
        <f>IF(SUMPRODUCT($J$19:CB$19,$J10:CB10)&lt;0.5, "Pending", IF(CB10&lt;0.5, "Complete", "In Progress"))</f>
        <v>#REF!</v>
      </c>
      <c r="CD10" s="24"/>
      <c r="CE10" s="25">
        <f>SUMPRODUCT($H$19:AY$19,$H10:AY10)</f>
        <v>5</v>
      </c>
    </row>
    <row r="11" spans="1:83" x14ac:dyDescent="0.2">
      <c r="A11" s="16" t="s">
        <v>102</v>
      </c>
      <c r="B11" s="16" t="s">
        <v>118</v>
      </c>
      <c r="C11" s="16" t="s">
        <v>157</v>
      </c>
      <c r="D11" s="17">
        <v>8</v>
      </c>
      <c r="E11" s="157" t="s">
        <v>145</v>
      </c>
      <c r="F11" s="18" t="s">
        <v>142</v>
      </c>
      <c r="G11" s="19" t="str">
        <f t="shared" ca="1" si="0"/>
        <v>Complete</v>
      </c>
      <c r="H11" s="20">
        <v>1</v>
      </c>
      <c r="I11" s="21">
        <v>5</v>
      </c>
      <c r="J11" s="22">
        <v>0</v>
      </c>
      <c r="K11" s="22">
        <v>5</v>
      </c>
      <c r="L11" s="23" t="str">
        <f>IF(SUMPRODUCT($J$19:K$19,$J11:K11)&lt;0.5, "Pending", IF(K11&lt;0.5, "Complete", "In Progress"))</f>
        <v>Pending</v>
      </c>
      <c r="M11" s="22">
        <v>0</v>
      </c>
      <c r="N11" s="22">
        <f t="shared" si="24"/>
        <v>5</v>
      </c>
      <c r="O11" s="23" t="str">
        <f>IF(SUMPRODUCT($J$19:N$19,$J11:N11)&lt;0.5, "Pending", IF(N11&lt;0.5, "Complete", "In Progress"))</f>
        <v>Pending</v>
      </c>
      <c r="P11" s="22">
        <v>2</v>
      </c>
      <c r="Q11" s="22">
        <f t="shared" si="45"/>
        <v>3</v>
      </c>
      <c r="R11" s="23" t="str">
        <f>IF(SUMPRODUCT($J$19:Q$19,$J11:Q11)&lt;0.5, "Pending", IF(Q11&lt;0.5, "Complete", "In Progress"))</f>
        <v>In Progress</v>
      </c>
      <c r="S11" s="22">
        <v>1</v>
      </c>
      <c r="T11" s="22">
        <f t="shared" si="25"/>
        <v>2</v>
      </c>
      <c r="U11" s="23" t="str">
        <f>IF(SUMPRODUCT($J$19:T$19,$J11:T11)&lt;0.5, "Pending", IF(T11&lt;0.5, "Complete", "In Progress"))</f>
        <v>In Progress</v>
      </c>
      <c r="V11" s="22">
        <v>2</v>
      </c>
      <c r="W11" s="22">
        <f t="shared" si="26"/>
        <v>0</v>
      </c>
      <c r="X11" s="23" t="str">
        <f>IF(SUMPRODUCT($J$19:W$19,$J11:W11)&lt;0.5, "Pending", IF(W11&lt;0.5, "Complete", "In Progress"))</f>
        <v>Complete</v>
      </c>
      <c r="Y11" s="22">
        <v>0</v>
      </c>
      <c r="Z11" s="22">
        <f t="shared" si="27"/>
        <v>0</v>
      </c>
      <c r="AA11" s="23" t="str">
        <f>IF(SUMPRODUCT($J$19:Z$19,$J11:Z11)&lt;0.5, "Pending", IF(Z11&lt;0.5, "Complete", "In Progress"))</f>
        <v>Complete</v>
      </c>
      <c r="AB11" s="22">
        <v>0</v>
      </c>
      <c r="AC11" s="22">
        <f t="shared" si="28"/>
        <v>0</v>
      </c>
      <c r="AD11" s="23" t="str">
        <f>IF(SUMPRODUCT($J$19:AC$19,$J11:AC11)&lt;0.5, "Pending", IF(AC11&lt;0.5, "Complete", "In Progress"))</f>
        <v>Complete</v>
      </c>
      <c r="AE11" s="22">
        <v>0</v>
      </c>
      <c r="AF11" s="22">
        <f t="shared" si="29"/>
        <v>0</v>
      </c>
      <c r="AG11" s="23" t="str">
        <f>IF(SUMPRODUCT($J$19:AF$19,$J11:AF11)&lt;0.5, "Pending", IF(AF11&lt;0.5, "Complete", "In Progress"))</f>
        <v>Complete</v>
      </c>
      <c r="AH11" s="22">
        <v>0</v>
      </c>
      <c r="AI11" s="22">
        <f t="shared" si="30"/>
        <v>0</v>
      </c>
      <c r="AJ11" s="23" t="str">
        <f>IF(SUMPRODUCT($J$19:AI$19,$J11:AI11)&lt;0.5, "Pending", IF(AI11&lt;0.5, "Complete", "In Progress"))</f>
        <v>Complete</v>
      </c>
      <c r="AK11" s="22">
        <v>0</v>
      </c>
      <c r="AL11" s="22">
        <f t="shared" si="31"/>
        <v>0</v>
      </c>
      <c r="AM11" s="23" t="str">
        <f>IF(SUMPRODUCT($J$19:AL$19,$J11:AL11)&lt;0.5, "Pending", IF(AL11&lt;0.5, "Complete", "In Progress"))</f>
        <v>Complete</v>
      </c>
      <c r="AN11" s="22">
        <v>0</v>
      </c>
      <c r="AO11" s="22">
        <f t="shared" si="32"/>
        <v>0</v>
      </c>
      <c r="AP11" s="23" t="str">
        <f>IF(SUMPRODUCT($J$19:AO$19,$J11:AO11)&lt;0.5, "Pending", IF(AO11&lt;0.5, "Complete", "In Progress"))</f>
        <v>Complete</v>
      </c>
      <c r="AQ11" s="22">
        <v>0</v>
      </c>
      <c r="AR11" s="22">
        <f t="shared" si="33"/>
        <v>0</v>
      </c>
      <c r="AS11" s="23" t="str">
        <f>IF(SUMPRODUCT($J$19:AR$19,$J11:AR11)&lt;0.5, "Pending", IF(AR11&lt;0.5, "Complete", "In Progress"))</f>
        <v>Complete</v>
      </c>
      <c r="AT11" s="22">
        <v>0</v>
      </c>
      <c r="AU11" s="22">
        <f t="shared" si="34"/>
        <v>0</v>
      </c>
      <c r="AV11" s="23" t="str">
        <f>IF(SUMPRODUCT($J$19:AU$19,$J11:AU11)&lt;0.5, "Pending", IF(AU11&lt;0.5, "Complete", "In Progress"))</f>
        <v>Complete</v>
      </c>
      <c r="AW11" s="22">
        <v>0</v>
      </c>
      <c r="AX11" s="22">
        <f t="shared" si="35"/>
        <v>0</v>
      </c>
      <c r="AY11" s="23" t="str">
        <f>IF(SUMPRODUCT($J$19:AX$19,$J11:AX11)&lt;0.5,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IF(SUMPRODUCT($J$19:BA$19,$J11:BA11)&lt;0.5, "Pending", IF(BA11&lt;0.5, "Complete", "In Progress"))</f>
        <v>#REF!</v>
      </c>
      <c r="BC11" s="22">
        <v>0</v>
      </c>
      <c r="BD11" s="22" t="e">
        <f t="shared" si="36"/>
        <v>#REF!</v>
      </c>
      <c r="BE11" s="23" t="e">
        <f>IF(SUMPRODUCT($J$19:BD$19,$J11:BD11)&lt;0.5, "Pending", IF(BD11&lt;0.5, "Complete", "In Progress"))</f>
        <v>#REF!</v>
      </c>
      <c r="BF11" s="22">
        <v>0</v>
      </c>
      <c r="BG11" s="22" t="e">
        <f t="shared" si="37"/>
        <v>#REF!</v>
      </c>
      <c r="BH11" s="23" t="e">
        <f>IF(SUMPRODUCT($J$19:BG$19,$J11:BG11)&lt;0.5, "Pending", IF(BG11&lt;0.5, "Complete", "In Progress"))</f>
        <v>#REF!</v>
      </c>
      <c r="BI11" s="22">
        <v>0</v>
      </c>
      <c r="BJ11" s="22" t="e">
        <f t="shared" si="38"/>
        <v>#REF!</v>
      </c>
      <c r="BK11" s="23" t="e">
        <f>IF(SUMPRODUCT($J$19:BJ$19,$J11:BJ11)&lt;0.5, "Pending", IF(BJ11&lt;0.5, "Complete", "In Progress"))</f>
        <v>#REF!</v>
      </c>
      <c r="BL11" s="22">
        <v>0</v>
      </c>
      <c r="BM11" s="22" t="e">
        <f t="shared" si="39"/>
        <v>#REF!</v>
      </c>
      <c r="BN11" s="23" t="e">
        <f>IF(SUMPRODUCT($J$19:BM$19,$J11:BM11)&lt;0.5, "Pending", IF(BM11&lt;0.5, "Complete", "In Progress"))</f>
        <v>#REF!</v>
      </c>
      <c r="BO11" s="22">
        <v>0</v>
      </c>
      <c r="BP11" s="22" t="e">
        <f t="shared" si="40"/>
        <v>#REF!</v>
      </c>
      <c r="BQ11" s="23" t="e">
        <f>IF(SUMPRODUCT($J$19:BP$19,$J11:BP11)&lt;0.5, "Pending", IF(BP11&lt;0.5, "Complete", "In Progress"))</f>
        <v>#REF!</v>
      </c>
      <c r="BR11" s="22">
        <v>0</v>
      </c>
      <c r="BS11" s="22" t="e">
        <f t="shared" si="41"/>
        <v>#REF!</v>
      </c>
      <c r="BT11" s="23" t="e">
        <f>IF(SUMPRODUCT($J$19:BS$19,$J11:BS11)&lt;0.5, "Pending", IF(BS11&lt;0.5, "Complete", "In Progress"))</f>
        <v>#REF!</v>
      </c>
      <c r="BU11" s="22">
        <v>0</v>
      </c>
      <c r="BV11" s="22" t="e">
        <f t="shared" si="42"/>
        <v>#REF!</v>
      </c>
      <c r="BW11" s="23" t="e">
        <f>IF(SUMPRODUCT($J$19:BV$19,$J11:BV11)&lt;0.5, "Pending", IF(BV11&lt;0.5, "Complete", "In Progress"))</f>
        <v>#REF!</v>
      </c>
      <c r="BX11" s="22">
        <v>0</v>
      </c>
      <c r="BY11" s="22" t="e">
        <f t="shared" si="43"/>
        <v>#REF!</v>
      </c>
      <c r="BZ11" s="23" t="e">
        <f>IF(SUMPRODUCT($J$19:BY$19,$J11:BY11)&lt;0.5, "Pending", IF(BY11&lt;0.5, "Complete", "In Progress"))</f>
        <v>#REF!</v>
      </c>
      <c r="CA11" s="22">
        <v>0</v>
      </c>
      <c r="CB11" s="22" t="e">
        <f t="shared" si="44"/>
        <v>#REF!</v>
      </c>
      <c r="CC11" s="23" t="e">
        <f>IF(SUMPRODUCT($J$19:CB$19,$J11:CB11)&lt;0.5, "Pending", IF(CB11&lt;0.5, "Complete", "In Progress"))</f>
        <v>#REF!</v>
      </c>
      <c r="CD11" s="24"/>
      <c r="CE11" s="25">
        <f>SUMPRODUCT($H$19:AY$19,$H11:AY11)</f>
        <v>5</v>
      </c>
    </row>
    <row r="12" spans="1:83" x14ac:dyDescent="0.2">
      <c r="A12" s="16" t="s">
        <v>100</v>
      </c>
      <c r="B12" s="16" t="s">
        <v>111</v>
      </c>
      <c r="C12" s="183" t="s">
        <v>156</v>
      </c>
      <c r="D12" s="17">
        <v>9</v>
      </c>
      <c r="E12" s="157" t="s">
        <v>151</v>
      </c>
      <c r="F12" s="18" t="s">
        <v>137</v>
      </c>
      <c r="G12" s="19" t="str">
        <f t="shared" ca="1" si="0"/>
        <v>Complete</v>
      </c>
      <c r="H12" s="20">
        <v>1</v>
      </c>
      <c r="I12" s="21">
        <v>5</v>
      </c>
      <c r="J12" s="22">
        <v>0</v>
      </c>
      <c r="K12" s="22">
        <v>5</v>
      </c>
      <c r="L12" s="23" t="str">
        <f>IF(SUMPRODUCT($J$19:K$19,$J12:K12)&lt;0.5, "Pending", IF(K12&lt;0.5, "Complete", "In Progress"))</f>
        <v>Pending</v>
      </c>
      <c r="M12" s="22">
        <v>0</v>
      </c>
      <c r="N12" s="22">
        <f t="shared" si="24"/>
        <v>5</v>
      </c>
      <c r="O12" s="23" t="str">
        <f>IF(SUMPRODUCT($J$19:N$19,$J12:N12)&lt;0.5, "Pending", IF(N12&lt;0.5, "Complete", "In Progress"))</f>
        <v>Pending</v>
      </c>
      <c r="P12" s="22">
        <v>1</v>
      </c>
      <c r="Q12" s="22">
        <f t="shared" si="45"/>
        <v>4</v>
      </c>
      <c r="R12" s="23" t="str">
        <f>IF(SUMPRODUCT($J$19:Q$19,$J12:Q12)&lt;0.5, "Pending", IF(Q12&lt;0.5, "Complete", "In Progress"))</f>
        <v>In Progress</v>
      </c>
      <c r="S12" s="22">
        <v>2</v>
      </c>
      <c r="T12" s="22">
        <f t="shared" si="25"/>
        <v>2</v>
      </c>
      <c r="U12" s="23" t="str">
        <f>IF(SUMPRODUCT($J$19:T$19,$J12:T12)&lt;0.5, "Pending", IF(T12&lt;0.5, "Complete", "In Progress"))</f>
        <v>In Progress</v>
      </c>
      <c r="V12" s="22">
        <v>2</v>
      </c>
      <c r="W12" s="22">
        <f t="shared" si="26"/>
        <v>0</v>
      </c>
      <c r="X12" s="23" t="str">
        <f>IF(SUMPRODUCT($J$19:W$19,$J12:W12)&lt;0.5, "Pending", IF(W12&lt;0.5, "Complete", "In Progress"))</f>
        <v>Complete</v>
      </c>
      <c r="Y12" s="22">
        <v>0</v>
      </c>
      <c r="Z12" s="22">
        <f t="shared" si="27"/>
        <v>0</v>
      </c>
      <c r="AA12" s="23" t="str">
        <f>IF(SUMPRODUCT($J$19:Z$19,$J12:Z12)&lt;0.5, "Pending", IF(Z12&lt;0.5, "Complete", "In Progress"))</f>
        <v>Complete</v>
      </c>
      <c r="AB12" s="22">
        <v>0</v>
      </c>
      <c r="AC12" s="22">
        <f t="shared" si="28"/>
        <v>0</v>
      </c>
      <c r="AD12" s="23" t="str">
        <f>IF(SUMPRODUCT($J$19:AC$19,$J12:AC12)&lt;0.5, "Pending", IF(AC12&lt;0.5, "Complete", "In Progress"))</f>
        <v>Complete</v>
      </c>
      <c r="AE12" s="22">
        <v>0</v>
      </c>
      <c r="AF12" s="22">
        <f t="shared" si="29"/>
        <v>0</v>
      </c>
      <c r="AG12" s="23" t="str">
        <f>IF(SUMPRODUCT($J$19:AF$19,$J12:AF12)&lt;0.5, "Pending", IF(AF12&lt;0.5, "Complete", "In Progress"))</f>
        <v>Complete</v>
      </c>
      <c r="AH12" s="22">
        <v>0</v>
      </c>
      <c r="AI12" s="22">
        <f t="shared" si="30"/>
        <v>0</v>
      </c>
      <c r="AJ12" s="23" t="str">
        <f>IF(SUMPRODUCT($J$19:AI$19,$J12:AI12)&lt;0.5, "Pending", IF(AI12&lt;0.5, "Complete", "In Progress"))</f>
        <v>Complete</v>
      </c>
      <c r="AK12" s="22">
        <v>0</v>
      </c>
      <c r="AL12" s="22">
        <f t="shared" si="31"/>
        <v>0</v>
      </c>
      <c r="AM12" s="23" t="str">
        <f>IF(SUMPRODUCT($J$19:AL$19,$J12:AL12)&lt;0.5, "Pending", IF(AL12&lt;0.5, "Complete", "In Progress"))</f>
        <v>Complete</v>
      </c>
      <c r="AN12" s="22">
        <v>0</v>
      </c>
      <c r="AO12" s="22">
        <f t="shared" si="32"/>
        <v>0</v>
      </c>
      <c r="AP12" s="23" t="str">
        <f>IF(SUMPRODUCT($J$19:AO$19,$J12:AO12)&lt;0.5, "Pending", IF(AO12&lt;0.5, "Complete", "In Progress"))</f>
        <v>Complete</v>
      </c>
      <c r="AQ12" s="22">
        <v>0</v>
      </c>
      <c r="AR12" s="22">
        <f t="shared" si="33"/>
        <v>0</v>
      </c>
      <c r="AS12" s="23" t="str">
        <f>IF(SUMPRODUCT($J$19:AR$19,$J12:AR12)&lt;0.5, "Pending", IF(AR12&lt;0.5, "Complete", "In Progress"))</f>
        <v>Complete</v>
      </c>
      <c r="AT12" s="22">
        <v>0</v>
      </c>
      <c r="AU12" s="22">
        <f t="shared" si="34"/>
        <v>0</v>
      </c>
      <c r="AV12" s="23" t="str">
        <f>IF(SUMPRODUCT($J$19:AU$19,$J12:AU12)&lt;0.5, "Pending", IF(AU12&lt;0.5, "Complete", "In Progress"))</f>
        <v>Complete</v>
      </c>
      <c r="AW12" s="22">
        <v>0</v>
      </c>
      <c r="AX12" s="22">
        <f t="shared" si="35"/>
        <v>0</v>
      </c>
      <c r="AY12" s="23" t="str">
        <f>IF(SUMPRODUCT($J$19:AX$19,$J12:AX12)&lt;0.5,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IF(SUMPRODUCT($J$19:BA$19,$J12:BA12)&lt;0.5, "Pending", IF(BA12&lt;0.5, "Complete", "In Progress"))</f>
        <v>#REF!</v>
      </c>
      <c r="BC12" s="22">
        <v>0</v>
      </c>
      <c r="BD12" s="22" t="e">
        <f t="shared" si="36"/>
        <v>#REF!</v>
      </c>
      <c r="BE12" s="23" t="e">
        <f>IF(SUMPRODUCT($J$19:BD$19,$J12:BD12)&lt;0.5, "Pending", IF(BD12&lt;0.5, "Complete", "In Progress"))</f>
        <v>#REF!</v>
      </c>
      <c r="BF12" s="22">
        <v>0</v>
      </c>
      <c r="BG12" s="22" t="e">
        <f t="shared" si="37"/>
        <v>#REF!</v>
      </c>
      <c r="BH12" s="23" t="e">
        <f>IF(SUMPRODUCT($J$19:BG$19,$J12:BG12)&lt;0.5, "Pending", IF(BG12&lt;0.5, "Complete", "In Progress"))</f>
        <v>#REF!</v>
      </c>
      <c r="BI12" s="22">
        <v>0</v>
      </c>
      <c r="BJ12" s="22" t="e">
        <f t="shared" si="38"/>
        <v>#REF!</v>
      </c>
      <c r="BK12" s="23" t="e">
        <f>IF(SUMPRODUCT($J$19:BJ$19,$J12:BJ12)&lt;0.5, "Pending", IF(BJ12&lt;0.5, "Complete", "In Progress"))</f>
        <v>#REF!</v>
      </c>
      <c r="BL12" s="22">
        <v>0</v>
      </c>
      <c r="BM12" s="22" t="e">
        <f t="shared" si="39"/>
        <v>#REF!</v>
      </c>
      <c r="BN12" s="23" t="e">
        <f>IF(SUMPRODUCT($J$19:BM$19,$J12:BM12)&lt;0.5, "Pending", IF(BM12&lt;0.5, "Complete", "In Progress"))</f>
        <v>#REF!</v>
      </c>
      <c r="BO12" s="22">
        <v>0</v>
      </c>
      <c r="BP12" s="22" t="e">
        <f t="shared" si="40"/>
        <v>#REF!</v>
      </c>
      <c r="BQ12" s="23" t="e">
        <f>IF(SUMPRODUCT($J$19:BP$19,$J12:BP12)&lt;0.5, "Pending", IF(BP12&lt;0.5, "Complete", "In Progress"))</f>
        <v>#REF!</v>
      </c>
      <c r="BR12" s="22">
        <v>0</v>
      </c>
      <c r="BS12" s="22" t="e">
        <f t="shared" si="41"/>
        <v>#REF!</v>
      </c>
      <c r="BT12" s="23" t="e">
        <f>IF(SUMPRODUCT($J$19:BS$19,$J12:BS12)&lt;0.5, "Pending", IF(BS12&lt;0.5, "Complete", "In Progress"))</f>
        <v>#REF!</v>
      </c>
      <c r="BU12" s="22">
        <v>0</v>
      </c>
      <c r="BV12" s="22" t="e">
        <f t="shared" si="42"/>
        <v>#REF!</v>
      </c>
      <c r="BW12" s="23" t="e">
        <f>IF(SUMPRODUCT($J$19:BV$19,$J12:BV12)&lt;0.5, "Pending", IF(BV12&lt;0.5, "Complete", "In Progress"))</f>
        <v>#REF!</v>
      </c>
      <c r="BX12" s="22">
        <v>0</v>
      </c>
      <c r="BY12" s="22" t="e">
        <f t="shared" si="43"/>
        <v>#REF!</v>
      </c>
      <c r="BZ12" s="23" t="e">
        <f>IF(SUMPRODUCT($J$19:BY$19,$J12:BY12)&lt;0.5, "Pending", IF(BY12&lt;0.5, "Complete", "In Progress"))</f>
        <v>#REF!</v>
      </c>
      <c r="CA12" s="22">
        <v>0</v>
      </c>
      <c r="CB12" s="22" t="e">
        <f t="shared" si="44"/>
        <v>#REF!</v>
      </c>
      <c r="CC12" s="23" t="e">
        <f>IF(SUMPRODUCT($J$19:CB$19,$J12:CB12)&lt;0.5, "Pending", IF(CB12&lt;0.5, "Complete", "In Progress"))</f>
        <v>#REF!</v>
      </c>
      <c r="CD12" s="24"/>
      <c r="CE12" s="25">
        <f>SUMPRODUCT($H$19:AY$19,$H12:AY12)</f>
        <v>5</v>
      </c>
    </row>
    <row r="13" spans="1:83" x14ac:dyDescent="0.2">
      <c r="A13" s="16" t="s">
        <v>102</v>
      </c>
      <c r="B13" s="16" t="s">
        <v>118</v>
      </c>
      <c r="C13" s="16" t="s">
        <v>155</v>
      </c>
      <c r="D13" s="17">
        <v>10</v>
      </c>
      <c r="E13" s="157" t="s">
        <v>152</v>
      </c>
      <c r="F13" s="18" t="s">
        <v>136</v>
      </c>
      <c r="G13" s="19" t="str">
        <f t="shared" ca="1" si="0"/>
        <v>Complete</v>
      </c>
      <c r="H13" s="20">
        <v>1</v>
      </c>
      <c r="I13" s="21">
        <v>5</v>
      </c>
      <c r="J13" s="22">
        <v>0</v>
      </c>
      <c r="K13" s="22">
        <v>5</v>
      </c>
      <c r="L13" s="23" t="str">
        <f>IF(SUMPRODUCT($J$19:K$19,$J13:K13)&lt;0.5, "Pending", IF(K13&lt;0.5, "Complete", "In Progress"))</f>
        <v>Pending</v>
      </c>
      <c r="M13" s="22">
        <v>0</v>
      </c>
      <c r="N13" s="22">
        <f t="shared" si="24"/>
        <v>5</v>
      </c>
      <c r="O13" s="23" t="str">
        <f>IF(SUMPRODUCT($J$19:N$19,$J13:N13)&lt;0.5, "Pending", IF(N13&lt;0.5, "Complete", "In Progress"))</f>
        <v>Pending</v>
      </c>
      <c r="P13" s="22">
        <v>1</v>
      </c>
      <c r="Q13" s="22">
        <f t="shared" si="45"/>
        <v>4</v>
      </c>
      <c r="R13" s="23" t="str">
        <f>IF(SUMPRODUCT($J$19:Q$19,$J13:Q13)&lt;0.5, "Pending", IF(Q13&lt;0.5, "Complete", "In Progress"))</f>
        <v>In Progress</v>
      </c>
      <c r="S13" s="22">
        <v>2</v>
      </c>
      <c r="T13" s="22">
        <f t="shared" si="25"/>
        <v>2</v>
      </c>
      <c r="U13" s="23" t="str">
        <f>IF(SUMPRODUCT($J$19:T$19,$J13:T13)&lt;0.5, "Pending", IF(T13&lt;0.5, "Complete", "In Progress"))</f>
        <v>In Progress</v>
      </c>
      <c r="V13" s="22">
        <v>2</v>
      </c>
      <c r="W13" s="22">
        <f t="shared" si="26"/>
        <v>0</v>
      </c>
      <c r="X13" s="23" t="str">
        <f>IF(SUMPRODUCT($J$19:W$19,$J13:W13)&lt;0.5, "Pending", IF(W13&lt;0.5, "Complete", "In Progress"))</f>
        <v>Complete</v>
      </c>
      <c r="Y13" s="22">
        <v>0</v>
      </c>
      <c r="Z13" s="22">
        <f t="shared" si="27"/>
        <v>0</v>
      </c>
      <c r="AA13" s="23" t="str">
        <f>IF(SUMPRODUCT($J$19:Z$19,$J13:Z13)&lt;0.5, "Pending", IF(Z13&lt;0.5, "Complete", "In Progress"))</f>
        <v>Complete</v>
      </c>
      <c r="AB13" s="22">
        <v>0</v>
      </c>
      <c r="AC13" s="22">
        <f t="shared" si="28"/>
        <v>0</v>
      </c>
      <c r="AD13" s="23" t="str">
        <f>IF(SUMPRODUCT($J$19:AC$19,$J13:AC13)&lt;0.5, "Pending", IF(AC13&lt;0.5, "Complete", "In Progress"))</f>
        <v>Complete</v>
      </c>
      <c r="AE13" s="22">
        <v>0</v>
      </c>
      <c r="AF13" s="22">
        <f t="shared" si="29"/>
        <v>0</v>
      </c>
      <c r="AG13" s="23" t="str">
        <f>IF(SUMPRODUCT($J$19:AF$19,$J13:AF13)&lt;0.5, "Pending", IF(AF13&lt;0.5, "Complete", "In Progress"))</f>
        <v>Complete</v>
      </c>
      <c r="AH13" s="22">
        <v>0</v>
      </c>
      <c r="AI13" s="22">
        <f t="shared" si="30"/>
        <v>0</v>
      </c>
      <c r="AJ13" s="23" t="str">
        <f>IF(SUMPRODUCT($J$19:AI$19,$J13:AI13)&lt;0.5, "Pending", IF(AI13&lt;0.5, "Complete", "In Progress"))</f>
        <v>Complete</v>
      </c>
      <c r="AK13" s="22">
        <v>0</v>
      </c>
      <c r="AL13" s="22">
        <f t="shared" si="31"/>
        <v>0</v>
      </c>
      <c r="AM13" s="23" t="str">
        <f>IF(SUMPRODUCT($J$19:AL$19,$J13:AL13)&lt;0.5, "Pending", IF(AL13&lt;0.5, "Complete", "In Progress"))</f>
        <v>Complete</v>
      </c>
      <c r="AN13" s="22">
        <v>0</v>
      </c>
      <c r="AO13" s="22">
        <f t="shared" si="32"/>
        <v>0</v>
      </c>
      <c r="AP13" s="23" t="str">
        <f>IF(SUMPRODUCT($J$19:AO$19,$J13:AO13)&lt;0.5, "Pending", IF(AO13&lt;0.5, "Complete", "In Progress"))</f>
        <v>Complete</v>
      </c>
      <c r="AQ13" s="22">
        <v>0</v>
      </c>
      <c r="AR13" s="22">
        <f t="shared" si="33"/>
        <v>0</v>
      </c>
      <c r="AS13" s="23" t="str">
        <f>IF(SUMPRODUCT($J$19:AR$19,$J13:AR13)&lt;0.5, "Pending", IF(AR13&lt;0.5, "Complete", "In Progress"))</f>
        <v>Complete</v>
      </c>
      <c r="AT13" s="22">
        <v>0</v>
      </c>
      <c r="AU13" s="22">
        <f t="shared" si="34"/>
        <v>0</v>
      </c>
      <c r="AV13" s="23" t="str">
        <f>IF(SUMPRODUCT($J$19:AU$19,$J13:AU13)&lt;0.5, "Pending", IF(AU13&lt;0.5, "Complete", "In Progress"))</f>
        <v>Complete</v>
      </c>
      <c r="AW13" s="22">
        <v>0</v>
      </c>
      <c r="AX13" s="22">
        <f t="shared" si="35"/>
        <v>0</v>
      </c>
      <c r="AY13" s="23" t="str">
        <f>IF(SUMPRODUCT($J$19:AX$19,$J13:AX13)&lt;0.5,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IF(SUMPRODUCT($J$19:BA$19,$J13:BA13)&lt;0.5, "Pending", IF(BA13&lt;0.5, "Complete", "In Progress"))</f>
        <v>#REF!</v>
      </c>
      <c r="BC13" s="22">
        <v>0</v>
      </c>
      <c r="BD13" s="22" t="e">
        <f t="shared" si="36"/>
        <v>#REF!</v>
      </c>
      <c r="BE13" s="23" t="e">
        <f>IF(SUMPRODUCT($J$19:BD$19,$J13:BD13)&lt;0.5, "Pending", IF(BD13&lt;0.5, "Complete", "In Progress"))</f>
        <v>#REF!</v>
      </c>
      <c r="BF13" s="22">
        <v>0</v>
      </c>
      <c r="BG13" s="22" t="e">
        <f t="shared" si="37"/>
        <v>#REF!</v>
      </c>
      <c r="BH13" s="23" t="e">
        <f>IF(SUMPRODUCT($J$19:BG$19,$J13:BG13)&lt;0.5, "Pending", IF(BG13&lt;0.5, "Complete", "In Progress"))</f>
        <v>#REF!</v>
      </c>
      <c r="BI13" s="22">
        <v>0</v>
      </c>
      <c r="BJ13" s="22" t="e">
        <f t="shared" si="38"/>
        <v>#REF!</v>
      </c>
      <c r="BK13" s="23" t="e">
        <f>IF(SUMPRODUCT($J$19:BJ$19,$J13:BJ13)&lt;0.5, "Pending", IF(BJ13&lt;0.5, "Complete", "In Progress"))</f>
        <v>#REF!</v>
      </c>
      <c r="BL13" s="22">
        <v>0</v>
      </c>
      <c r="BM13" s="22" t="e">
        <f t="shared" si="39"/>
        <v>#REF!</v>
      </c>
      <c r="BN13" s="23" t="e">
        <f>IF(SUMPRODUCT($J$19:BM$19,$J13:BM13)&lt;0.5, "Pending", IF(BM13&lt;0.5, "Complete", "In Progress"))</f>
        <v>#REF!</v>
      </c>
      <c r="BO13" s="22">
        <v>0</v>
      </c>
      <c r="BP13" s="22" t="e">
        <f t="shared" si="40"/>
        <v>#REF!</v>
      </c>
      <c r="BQ13" s="23" t="e">
        <f>IF(SUMPRODUCT($J$19:BP$19,$J13:BP13)&lt;0.5, "Pending", IF(BP13&lt;0.5, "Complete", "In Progress"))</f>
        <v>#REF!</v>
      </c>
      <c r="BR13" s="22">
        <v>0</v>
      </c>
      <c r="BS13" s="22" t="e">
        <f t="shared" si="41"/>
        <v>#REF!</v>
      </c>
      <c r="BT13" s="23" t="e">
        <f>IF(SUMPRODUCT($J$19:BS$19,$J13:BS13)&lt;0.5, "Pending", IF(BS13&lt;0.5, "Complete", "In Progress"))</f>
        <v>#REF!</v>
      </c>
      <c r="BU13" s="22">
        <v>0</v>
      </c>
      <c r="BV13" s="22" t="e">
        <f t="shared" si="42"/>
        <v>#REF!</v>
      </c>
      <c r="BW13" s="23" t="e">
        <f>IF(SUMPRODUCT($J$19:BV$19,$J13:BV13)&lt;0.5, "Pending", IF(BV13&lt;0.5, "Complete", "In Progress"))</f>
        <v>#REF!</v>
      </c>
      <c r="BX13" s="22">
        <v>0</v>
      </c>
      <c r="BY13" s="22" t="e">
        <f t="shared" si="43"/>
        <v>#REF!</v>
      </c>
      <c r="BZ13" s="23" t="e">
        <f>IF(SUMPRODUCT($J$19:BY$19,$J13:BY13)&lt;0.5, "Pending", IF(BY13&lt;0.5, "Complete", "In Progress"))</f>
        <v>#REF!</v>
      </c>
      <c r="CA13" s="22">
        <v>0</v>
      </c>
      <c r="CB13" s="22" t="e">
        <f t="shared" si="44"/>
        <v>#REF!</v>
      </c>
      <c r="CC13" s="23" t="e">
        <f>IF(SUMPRODUCT($J$19:CB$19,$J13:CB13)&lt;0.5, "Pending", IF(CB13&lt;0.5, "Complete", "In Progress"))</f>
        <v>#REF!</v>
      </c>
      <c r="CD13" s="24"/>
      <c r="CE13" s="25">
        <f>SUMPRODUCT($H$19:AY$19,$H13:AY13)</f>
        <v>5</v>
      </c>
    </row>
    <row r="14" spans="1:83" x14ac:dyDescent="0.2">
      <c r="A14" s="16" t="s">
        <v>102</v>
      </c>
      <c r="B14" s="16" t="s">
        <v>111</v>
      </c>
      <c r="C14" s="183" t="s">
        <v>156</v>
      </c>
      <c r="D14" s="17">
        <v>11</v>
      </c>
      <c r="E14" s="157" t="s">
        <v>153</v>
      </c>
      <c r="F14" s="18" t="s">
        <v>140</v>
      </c>
      <c r="G14" s="19" t="str">
        <f t="shared" ca="1" si="0"/>
        <v>Complete</v>
      </c>
      <c r="H14" s="20">
        <v>1</v>
      </c>
      <c r="I14" s="21">
        <v>5</v>
      </c>
      <c r="J14" s="22">
        <v>2</v>
      </c>
      <c r="K14" s="22">
        <v>3</v>
      </c>
      <c r="L14" s="23" t="str">
        <f>IF(SUMPRODUCT($J$19:K$19,$J14:K14)&lt;0.5, "Pending", IF(K14&lt;0.5, "Complete", "In Progress"))</f>
        <v>In Progress</v>
      </c>
      <c r="M14" s="22">
        <v>2</v>
      </c>
      <c r="N14" s="22">
        <f t="shared" si="24"/>
        <v>1</v>
      </c>
      <c r="O14" s="23" t="str">
        <f>IF(SUMPRODUCT($J$19:N$19,$J14:N14)&lt;0.5, "Pending", IF(N14&lt;0.5, "Complete", "In Progress"))</f>
        <v>In Progress</v>
      </c>
      <c r="P14" s="22">
        <v>1</v>
      </c>
      <c r="Q14" s="22">
        <f t="shared" si="45"/>
        <v>0</v>
      </c>
      <c r="R14" s="23" t="str">
        <f>IF(SUMPRODUCT($J$19:Q$19,$J14:Q14)&lt;0.5, "Pending", IF(Q14&lt;0.5, "Complete", "In Progress"))</f>
        <v>Complete</v>
      </c>
      <c r="S14" s="22">
        <v>0</v>
      </c>
      <c r="T14" s="22">
        <f t="shared" si="25"/>
        <v>0</v>
      </c>
      <c r="U14" s="23" t="str">
        <f>IF(SUMPRODUCT($J$19:T$19,$J14:T14)&lt;0.5, "Pending", IF(T14&lt;0.5, "Complete", "In Progress"))</f>
        <v>Complete</v>
      </c>
      <c r="V14" s="22">
        <v>0</v>
      </c>
      <c r="W14" s="22">
        <f t="shared" si="26"/>
        <v>0</v>
      </c>
      <c r="X14" s="23" t="str">
        <f>IF(SUMPRODUCT($J$19:W$19,$J14:W14)&lt;0.5, "Pending", IF(W14&lt;0.5, "Complete", "In Progress"))</f>
        <v>Complete</v>
      </c>
      <c r="Y14" s="22">
        <v>0</v>
      </c>
      <c r="Z14" s="22">
        <f t="shared" si="27"/>
        <v>0</v>
      </c>
      <c r="AA14" s="23" t="str">
        <f>IF(SUMPRODUCT($J$19:Z$19,$J14:Z14)&lt;0.5, "Pending", IF(Z14&lt;0.5, "Complete", "In Progress"))</f>
        <v>Complete</v>
      </c>
      <c r="AB14" s="22">
        <v>0</v>
      </c>
      <c r="AC14" s="22">
        <f t="shared" si="28"/>
        <v>0</v>
      </c>
      <c r="AD14" s="23" t="str">
        <f>IF(SUMPRODUCT($J$19:AC$19,$J14:AC14)&lt;0.5, "Pending", IF(AC14&lt;0.5, "Complete", "In Progress"))</f>
        <v>Complete</v>
      </c>
      <c r="AE14" s="22">
        <v>0</v>
      </c>
      <c r="AF14" s="22">
        <f t="shared" si="29"/>
        <v>0</v>
      </c>
      <c r="AG14" s="23" t="str">
        <f>IF(SUMPRODUCT($J$19:AF$19,$J14:AF14)&lt;0.5, "Pending", IF(AF14&lt;0.5, "Complete", "In Progress"))</f>
        <v>Complete</v>
      </c>
      <c r="AH14" s="22">
        <v>0</v>
      </c>
      <c r="AI14" s="22">
        <f t="shared" si="30"/>
        <v>0</v>
      </c>
      <c r="AJ14" s="23" t="str">
        <f>IF(SUMPRODUCT($J$19:AI$19,$J14:AI14)&lt;0.5, "Pending", IF(AI14&lt;0.5, "Complete", "In Progress"))</f>
        <v>Complete</v>
      </c>
      <c r="AK14" s="22">
        <v>0</v>
      </c>
      <c r="AL14" s="22">
        <f t="shared" si="31"/>
        <v>0</v>
      </c>
      <c r="AM14" s="23" t="str">
        <f>IF(SUMPRODUCT($J$19:AL$19,$J14:AL14)&lt;0.5, "Pending", IF(AL14&lt;0.5, "Complete", "In Progress"))</f>
        <v>Complete</v>
      </c>
      <c r="AN14" s="22">
        <v>0</v>
      </c>
      <c r="AO14" s="22">
        <f t="shared" si="32"/>
        <v>0</v>
      </c>
      <c r="AP14" s="23" t="str">
        <f>IF(SUMPRODUCT($J$19:AO$19,$J14:AO14)&lt;0.5, "Pending", IF(AO14&lt;0.5, "Complete", "In Progress"))</f>
        <v>Complete</v>
      </c>
      <c r="AQ14" s="22">
        <v>0</v>
      </c>
      <c r="AR14" s="22">
        <f t="shared" si="33"/>
        <v>0</v>
      </c>
      <c r="AS14" s="23" t="str">
        <f>IF(SUMPRODUCT($J$19:AR$19,$J14:AR14)&lt;0.5, "Pending", IF(AR14&lt;0.5, "Complete", "In Progress"))</f>
        <v>Complete</v>
      </c>
      <c r="AT14" s="22">
        <v>0</v>
      </c>
      <c r="AU14" s="22">
        <f t="shared" si="34"/>
        <v>0</v>
      </c>
      <c r="AV14" s="23" t="str">
        <f>IF(SUMPRODUCT($J$19:AU$19,$J14:AU14)&lt;0.5, "Pending", IF(AU14&lt;0.5, "Complete", "In Progress"))</f>
        <v>Complete</v>
      </c>
      <c r="AW14" s="22">
        <v>0</v>
      </c>
      <c r="AX14" s="22">
        <f t="shared" si="35"/>
        <v>0</v>
      </c>
      <c r="AY14" s="23" t="str">
        <f>IF(SUMPRODUCT($J$19:AX$19,$J14:AX14)&lt;0.5,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IF(SUMPRODUCT($J$19:BA$19,$J14:BA14)&lt;0.5, "Pending", IF(BA14&lt;0.5, "Complete", "In Progress"))</f>
        <v>#REF!</v>
      </c>
      <c r="BC14" s="22">
        <v>0</v>
      </c>
      <c r="BD14" s="22" t="e">
        <f t="shared" si="36"/>
        <v>#REF!</v>
      </c>
      <c r="BE14" s="23" t="e">
        <f>IF(SUMPRODUCT($J$19:BD$19,$J14:BD14)&lt;0.5, "Pending", IF(BD14&lt;0.5, "Complete", "In Progress"))</f>
        <v>#REF!</v>
      </c>
      <c r="BF14" s="22">
        <v>0</v>
      </c>
      <c r="BG14" s="22" t="e">
        <f t="shared" si="37"/>
        <v>#REF!</v>
      </c>
      <c r="BH14" s="23" t="e">
        <f>IF(SUMPRODUCT($J$19:BG$19,$J14:BG14)&lt;0.5, "Pending", IF(BG14&lt;0.5, "Complete", "In Progress"))</f>
        <v>#REF!</v>
      </c>
      <c r="BI14" s="22">
        <v>0</v>
      </c>
      <c r="BJ14" s="22" t="e">
        <f t="shared" si="38"/>
        <v>#REF!</v>
      </c>
      <c r="BK14" s="23" t="e">
        <f>IF(SUMPRODUCT($J$19:BJ$19,$J14:BJ14)&lt;0.5, "Pending", IF(BJ14&lt;0.5, "Complete", "In Progress"))</f>
        <v>#REF!</v>
      </c>
      <c r="BL14" s="22">
        <v>0</v>
      </c>
      <c r="BM14" s="22" t="e">
        <f t="shared" si="39"/>
        <v>#REF!</v>
      </c>
      <c r="BN14" s="23" t="e">
        <f>IF(SUMPRODUCT($J$19:BM$19,$J14:BM14)&lt;0.5, "Pending", IF(BM14&lt;0.5, "Complete", "In Progress"))</f>
        <v>#REF!</v>
      </c>
      <c r="BO14" s="22">
        <v>0</v>
      </c>
      <c r="BP14" s="22" t="e">
        <f t="shared" si="40"/>
        <v>#REF!</v>
      </c>
      <c r="BQ14" s="23" t="e">
        <f>IF(SUMPRODUCT($J$19:BP$19,$J14:BP14)&lt;0.5, "Pending", IF(BP14&lt;0.5, "Complete", "In Progress"))</f>
        <v>#REF!</v>
      </c>
      <c r="BR14" s="22">
        <v>0</v>
      </c>
      <c r="BS14" s="22" t="e">
        <f t="shared" si="41"/>
        <v>#REF!</v>
      </c>
      <c r="BT14" s="23" t="e">
        <f>IF(SUMPRODUCT($J$19:BS$19,$J14:BS14)&lt;0.5, "Pending", IF(BS14&lt;0.5, "Complete", "In Progress"))</f>
        <v>#REF!</v>
      </c>
      <c r="BU14" s="22">
        <v>0</v>
      </c>
      <c r="BV14" s="22" t="e">
        <f t="shared" si="42"/>
        <v>#REF!</v>
      </c>
      <c r="BW14" s="23" t="e">
        <f>IF(SUMPRODUCT($J$19:BV$19,$J14:BV14)&lt;0.5, "Pending", IF(BV14&lt;0.5, "Complete", "In Progress"))</f>
        <v>#REF!</v>
      </c>
      <c r="BX14" s="22">
        <v>0</v>
      </c>
      <c r="BY14" s="22" t="e">
        <f t="shared" si="43"/>
        <v>#REF!</v>
      </c>
      <c r="BZ14" s="23" t="e">
        <f>IF(SUMPRODUCT($J$19:BY$19,$J14:BY14)&lt;0.5, "Pending", IF(BY14&lt;0.5, "Complete", "In Progress"))</f>
        <v>#REF!</v>
      </c>
      <c r="CA14" s="22">
        <v>0</v>
      </c>
      <c r="CB14" s="22" t="e">
        <f t="shared" si="44"/>
        <v>#REF!</v>
      </c>
      <c r="CC14" s="23" t="e">
        <f>IF(SUMPRODUCT($J$19:CB$19,$J14:CB14)&lt;0.5, "Pending", IF(CB14&lt;0.5, "Complete", "In Progress"))</f>
        <v>#REF!</v>
      </c>
      <c r="CD14" s="24"/>
      <c r="CE14" s="25">
        <f>SUMPRODUCT($H$19:AY$19,$H14:AY14)</f>
        <v>5</v>
      </c>
    </row>
    <row r="15" spans="1:83" x14ac:dyDescent="0.2">
      <c r="A15" s="16" t="s">
        <v>102</v>
      </c>
      <c r="B15" s="16" t="s">
        <v>117</v>
      </c>
      <c r="C15" s="183" t="s">
        <v>156</v>
      </c>
      <c r="D15" s="17">
        <v>12</v>
      </c>
      <c r="E15" s="157" t="s">
        <v>143</v>
      </c>
      <c r="F15" s="18" t="s">
        <v>140</v>
      </c>
      <c r="G15" s="19" t="str">
        <f t="shared" ca="1" si="0"/>
        <v>Complete</v>
      </c>
      <c r="H15" s="20">
        <v>1</v>
      </c>
      <c r="I15" s="21">
        <v>4</v>
      </c>
      <c r="J15" s="22">
        <v>0</v>
      </c>
      <c r="K15" s="22">
        <v>4</v>
      </c>
      <c r="L15" s="23" t="str">
        <f>IF(SUMPRODUCT($J$19:K$19,$J15:K15)&lt;0.5, "Pending", IF(K15&lt;0.5, "Complete", "In Progress"))</f>
        <v>Pending</v>
      </c>
      <c r="M15" s="22">
        <v>0</v>
      </c>
      <c r="N15" s="22">
        <f t="shared" si="24"/>
        <v>4</v>
      </c>
      <c r="O15" s="23" t="str">
        <f>IF(SUMPRODUCT($J$19:N$19,$J15:N15)&lt;0.5, "Pending", IF(N15&lt;0.5, "Complete", "In Progress"))</f>
        <v>Pending</v>
      </c>
      <c r="P15" s="22">
        <v>0</v>
      </c>
      <c r="Q15" s="22">
        <f t="shared" si="45"/>
        <v>4</v>
      </c>
      <c r="R15" s="23" t="str">
        <f>IF(SUMPRODUCT($J$19:Q$19,$J15:Q15)&lt;0.5, "Pending", IF(Q15&lt;0.5, "Complete", "In Progress"))</f>
        <v>Pending</v>
      </c>
      <c r="S15" s="22">
        <v>2</v>
      </c>
      <c r="T15" s="22">
        <f t="shared" si="25"/>
        <v>2</v>
      </c>
      <c r="U15" s="23" t="str">
        <f>IF(SUMPRODUCT($J$19:T$19,$J15:T15)&lt;0.5, "Pending", IF(T15&lt;0.5, "Complete", "In Progress"))</f>
        <v>In Progress</v>
      </c>
      <c r="V15" s="22">
        <v>3</v>
      </c>
      <c r="W15" s="22">
        <f t="shared" si="26"/>
        <v>0</v>
      </c>
      <c r="X15" s="23" t="str">
        <f>IF(SUMPRODUCT($J$19:W$19,$J15:W15)&lt;0.5, "Pending", IF(W15&lt;0.5, "Complete", "In Progress"))</f>
        <v>Complete</v>
      </c>
      <c r="Y15" s="22">
        <v>0</v>
      </c>
      <c r="Z15" s="22">
        <f t="shared" si="27"/>
        <v>0</v>
      </c>
      <c r="AA15" s="23" t="str">
        <f>IF(SUMPRODUCT($J$19:Z$19,$J15:Z15)&lt;0.5, "Pending", IF(Z15&lt;0.5, "Complete", "In Progress"))</f>
        <v>Complete</v>
      </c>
      <c r="AB15" s="22">
        <v>0</v>
      </c>
      <c r="AC15" s="22">
        <f t="shared" si="28"/>
        <v>0</v>
      </c>
      <c r="AD15" s="23" t="str">
        <f>IF(SUMPRODUCT($J$19:AC$19,$J15:AC15)&lt;0.5, "Pending", IF(AC15&lt;0.5, "Complete", "In Progress"))</f>
        <v>Complete</v>
      </c>
      <c r="AE15" s="22">
        <v>0</v>
      </c>
      <c r="AF15" s="22">
        <f t="shared" si="29"/>
        <v>0</v>
      </c>
      <c r="AG15" s="23" t="str">
        <f>IF(SUMPRODUCT($J$19:AF$19,$J15:AF15)&lt;0.5, "Pending", IF(AF15&lt;0.5, "Complete", "In Progress"))</f>
        <v>Complete</v>
      </c>
      <c r="AH15" s="22">
        <v>0</v>
      </c>
      <c r="AI15" s="22">
        <f t="shared" si="30"/>
        <v>0</v>
      </c>
      <c r="AJ15" s="23" t="str">
        <f>IF(SUMPRODUCT($J$19:AI$19,$J15:AI15)&lt;0.5, "Pending", IF(AI15&lt;0.5, "Complete", "In Progress"))</f>
        <v>Complete</v>
      </c>
      <c r="AK15" s="22">
        <v>0</v>
      </c>
      <c r="AL15" s="22">
        <f t="shared" si="31"/>
        <v>0</v>
      </c>
      <c r="AM15" s="23" t="str">
        <f>IF(SUMPRODUCT($J$19:AL$19,$J15:AL15)&lt;0.5, "Pending", IF(AL15&lt;0.5, "Complete", "In Progress"))</f>
        <v>Complete</v>
      </c>
      <c r="AN15" s="22">
        <v>0</v>
      </c>
      <c r="AO15" s="22">
        <f t="shared" si="32"/>
        <v>0</v>
      </c>
      <c r="AP15" s="23" t="str">
        <f>IF(SUMPRODUCT($J$19:AO$19,$J15:AO15)&lt;0.5, "Pending", IF(AO15&lt;0.5, "Complete", "In Progress"))</f>
        <v>Complete</v>
      </c>
      <c r="AQ15" s="22">
        <v>0</v>
      </c>
      <c r="AR15" s="22">
        <f t="shared" si="33"/>
        <v>0</v>
      </c>
      <c r="AS15" s="23" t="str">
        <f>IF(SUMPRODUCT($J$19:AR$19,$J15:AR15)&lt;0.5, "Pending", IF(AR15&lt;0.5, "Complete", "In Progress"))</f>
        <v>Complete</v>
      </c>
      <c r="AT15" s="22">
        <v>0</v>
      </c>
      <c r="AU15" s="22">
        <f t="shared" si="34"/>
        <v>0</v>
      </c>
      <c r="AV15" s="23" t="str">
        <f>IF(SUMPRODUCT($J$19:AU$19,$J15:AU15)&lt;0.5, "Pending", IF(AU15&lt;0.5, "Complete", "In Progress"))</f>
        <v>Complete</v>
      </c>
      <c r="AW15" s="22">
        <v>0</v>
      </c>
      <c r="AX15" s="22">
        <f t="shared" si="35"/>
        <v>0</v>
      </c>
      <c r="AY15" s="23" t="str">
        <f>IF(SUMPRODUCT($J$19:AX$19,$J15:AX15)&lt;0.5,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IF(SUMPRODUCT($J$19:BA$19,$J15:BA15)&lt;0.5, "Pending", IF(BA15&lt;0.5, "Complete", "In Progress"))</f>
        <v>#REF!</v>
      </c>
      <c r="BC15" s="22">
        <v>0</v>
      </c>
      <c r="BD15" s="22" t="e">
        <f t="shared" si="36"/>
        <v>#REF!</v>
      </c>
      <c r="BE15" s="23" t="e">
        <f>IF(SUMPRODUCT($J$19:BD$19,$J15:BD15)&lt;0.5, "Pending", IF(BD15&lt;0.5, "Complete", "In Progress"))</f>
        <v>#REF!</v>
      </c>
      <c r="BF15" s="22">
        <v>0</v>
      </c>
      <c r="BG15" s="22" t="e">
        <f t="shared" si="37"/>
        <v>#REF!</v>
      </c>
      <c r="BH15" s="23" t="e">
        <f>IF(SUMPRODUCT($J$19:BG$19,$J15:BG15)&lt;0.5, "Pending", IF(BG15&lt;0.5, "Complete", "In Progress"))</f>
        <v>#REF!</v>
      </c>
      <c r="BI15" s="22">
        <v>0</v>
      </c>
      <c r="BJ15" s="22" t="e">
        <f t="shared" si="38"/>
        <v>#REF!</v>
      </c>
      <c r="BK15" s="23" t="e">
        <f>IF(SUMPRODUCT($J$19:BJ$19,$J15:BJ15)&lt;0.5, "Pending", IF(BJ15&lt;0.5, "Complete", "In Progress"))</f>
        <v>#REF!</v>
      </c>
      <c r="BL15" s="22">
        <v>0</v>
      </c>
      <c r="BM15" s="22" t="e">
        <f t="shared" si="39"/>
        <v>#REF!</v>
      </c>
      <c r="BN15" s="23" t="e">
        <f>IF(SUMPRODUCT($J$19:BM$19,$J15:BM15)&lt;0.5, "Pending", IF(BM15&lt;0.5, "Complete", "In Progress"))</f>
        <v>#REF!</v>
      </c>
      <c r="BO15" s="22">
        <v>0</v>
      </c>
      <c r="BP15" s="22" t="e">
        <f t="shared" si="40"/>
        <v>#REF!</v>
      </c>
      <c r="BQ15" s="23" t="e">
        <f>IF(SUMPRODUCT($J$19:BP$19,$J15:BP15)&lt;0.5, "Pending", IF(BP15&lt;0.5, "Complete", "In Progress"))</f>
        <v>#REF!</v>
      </c>
      <c r="BR15" s="22">
        <v>0</v>
      </c>
      <c r="BS15" s="22" t="e">
        <f t="shared" si="41"/>
        <v>#REF!</v>
      </c>
      <c r="BT15" s="23" t="e">
        <f>IF(SUMPRODUCT($J$19:BS$19,$J15:BS15)&lt;0.5, "Pending", IF(BS15&lt;0.5, "Complete", "In Progress"))</f>
        <v>#REF!</v>
      </c>
      <c r="BU15" s="22">
        <v>0</v>
      </c>
      <c r="BV15" s="22" t="e">
        <f t="shared" si="42"/>
        <v>#REF!</v>
      </c>
      <c r="BW15" s="23" t="e">
        <f>IF(SUMPRODUCT($J$19:BV$19,$J15:BV15)&lt;0.5, "Pending", IF(BV15&lt;0.5, "Complete", "In Progress"))</f>
        <v>#REF!</v>
      </c>
      <c r="BX15" s="22">
        <v>0</v>
      </c>
      <c r="BY15" s="22" t="e">
        <f t="shared" si="43"/>
        <v>#REF!</v>
      </c>
      <c r="BZ15" s="23" t="e">
        <f>IF(SUMPRODUCT($J$19:BY$19,$J15:BY15)&lt;0.5, "Pending", IF(BY15&lt;0.5, "Complete", "In Progress"))</f>
        <v>#REF!</v>
      </c>
      <c r="CA15" s="22">
        <v>0</v>
      </c>
      <c r="CB15" s="22" t="e">
        <f t="shared" si="44"/>
        <v>#REF!</v>
      </c>
      <c r="CC15" s="23" t="e">
        <f>IF(SUMPRODUCT($J$19:CB$19,$J15:CB15)&lt;0.5, "Pending", IF(CB15&lt;0.5, "Complete", "In Progress"))</f>
        <v>#REF!</v>
      </c>
      <c r="CD15" s="24"/>
      <c r="CE15" s="25">
        <f>SUMPRODUCT($H$19:AY$19,$H15:AY15)</f>
        <v>5</v>
      </c>
    </row>
    <row r="16" spans="1:83" x14ac:dyDescent="0.2">
      <c r="A16" s="16" t="s">
        <v>102</v>
      </c>
      <c r="B16" s="16" t="s">
        <v>106</v>
      </c>
      <c r="C16" s="16" t="s">
        <v>154</v>
      </c>
      <c r="D16" s="17">
        <v>13</v>
      </c>
      <c r="E16" s="157" t="s">
        <v>154</v>
      </c>
      <c r="F16" s="18" t="s">
        <v>138</v>
      </c>
      <c r="G16" s="19" t="str">
        <f t="shared" ca="1" si="0"/>
        <v>Complete</v>
      </c>
      <c r="H16" s="20">
        <v>1</v>
      </c>
      <c r="I16" s="21">
        <v>5</v>
      </c>
      <c r="J16" s="22">
        <v>2</v>
      </c>
      <c r="K16" s="22">
        <v>3</v>
      </c>
      <c r="L16" s="23" t="str">
        <f>IF(SUMPRODUCT($J$19:K$19,$J16:K16)&lt;0.5, "Pending", IF(K16&lt;0.5, "Complete", "In Progress"))</f>
        <v>In Progress</v>
      </c>
      <c r="M16" s="22">
        <v>2</v>
      </c>
      <c r="N16" s="22">
        <f t="shared" si="24"/>
        <v>1</v>
      </c>
      <c r="O16" s="23" t="str">
        <f>IF(SUMPRODUCT($J$19:N$19,$J16:N16)&lt;0.5, "Pending", IF(N16&lt;0.5, "Complete", "In Progress"))</f>
        <v>In Progress</v>
      </c>
      <c r="P16" s="22">
        <v>1</v>
      </c>
      <c r="Q16" s="22">
        <f t="shared" si="45"/>
        <v>0</v>
      </c>
      <c r="R16" s="23" t="str">
        <f>IF(SUMPRODUCT($J$19:Q$19,$J16:Q16)&lt;0.5, "Pending", IF(Q16&lt;0.5, "Complete", "In Progress"))</f>
        <v>Complete</v>
      </c>
      <c r="S16" s="22">
        <v>0</v>
      </c>
      <c r="T16" s="22">
        <f t="shared" si="25"/>
        <v>0</v>
      </c>
      <c r="U16" s="23" t="str">
        <f>IF(SUMPRODUCT($J$19:T$19,$J16:T16)&lt;0.5, "Pending", IF(T16&lt;0.5, "Complete", "In Progress"))</f>
        <v>Complete</v>
      </c>
      <c r="V16" s="22">
        <v>0</v>
      </c>
      <c r="W16" s="22">
        <f t="shared" si="26"/>
        <v>0</v>
      </c>
      <c r="X16" s="23" t="str">
        <f>IF(SUMPRODUCT($J$19:W$19,$J16:W16)&lt;0.5, "Pending", IF(W16&lt;0.5, "Complete", "In Progress"))</f>
        <v>Complete</v>
      </c>
      <c r="Y16" s="22">
        <v>0</v>
      </c>
      <c r="Z16" s="22">
        <f t="shared" si="27"/>
        <v>0</v>
      </c>
      <c r="AA16" s="23" t="str">
        <f>IF(SUMPRODUCT($J$19:Z$19,$J16:Z16)&lt;0.5, "Pending", IF(Z16&lt;0.5, "Complete", "In Progress"))</f>
        <v>Complete</v>
      </c>
      <c r="AB16" s="22">
        <v>0</v>
      </c>
      <c r="AC16" s="22">
        <f t="shared" si="28"/>
        <v>0</v>
      </c>
      <c r="AD16" s="23" t="str">
        <f>IF(SUMPRODUCT($J$19:AC$19,$J16:AC16)&lt;0.5, "Pending", IF(AC16&lt;0.5, "Complete", "In Progress"))</f>
        <v>Complete</v>
      </c>
      <c r="AE16" s="22">
        <v>0</v>
      </c>
      <c r="AF16" s="22">
        <f t="shared" si="29"/>
        <v>0</v>
      </c>
      <c r="AG16" s="23" t="str">
        <f>IF(SUMPRODUCT($J$19:AF$19,$J16:AF16)&lt;0.5, "Pending", IF(AF16&lt;0.5, "Complete", "In Progress"))</f>
        <v>Complete</v>
      </c>
      <c r="AH16" s="22">
        <v>0</v>
      </c>
      <c r="AI16" s="22">
        <f t="shared" si="30"/>
        <v>0</v>
      </c>
      <c r="AJ16" s="23" t="str">
        <f>IF(SUMPRODUCT($J$19:AI$19,$J16:AI16)&lt;0.5, "Pending", IF(AI16&lt;0.5, "Complete", "In Progress"))</f>
        <v>Complete</v>
      </c>
      <c r="AK16" s="22">
        <v>0</v>
      </c>
      <c r="AL16" s="22">
        <f t="shared" si="31"/>
        <v>0</v>
      </c>
      <c r="AM16" s="23" t="str">
        <f>IF(SUMPRODUCT($J$19:AL$19,$J16:AL16)&lt;0.5, "Pending", IF(AL16&lt;0.5, "Complete", "In Progress"))</f>
        <v>Complete</v>
      </c>
      <c r="AN16" s="22">
        <v>0</v>
      </c>
      <c r="AO16" s="22">
        <f t="shared" si="32"/>
        <v>0</v>
      </c>
      <c r="AP16" s="23" t="str">
        <f>IF(SUMPRODUCT($J$19:AO$19,$J16:AO16)&lt;0.5, "Pending", IF(AO16&lt;0.5, "Complete", "In Progress"))</f>
        <v>Complete</v>
      </c>
      <c r="AQ16" s="22">
        <v>0</v>
      </c>
      <c r="AR16" s="22">
        <f t="shared" si="33"/>
        <v>0</v>
      </c>
      <c r="AS16" s="23" t="str">
        <f>IF(SUMPRODUCT($J$19:AR$19,$J16:AR16)&lt;0.5, "Pending", IF(AR16&lt;0.5, "Complete", "In Progress"))</f>
        <v>Complete</v>
      </c>
      <c r="AT16" s="22">
        <v>0</v>
      </c>
      <c r="AU16" s="22">
        <f t="shared" si="34"/>
        <v>0</v>
      </c>
      <c r="AV16" s="23" t="str">
        <f>IF(SUMPRODUCT($J$19:AU$19,$J16:AU16)&lt;0.5, "Pending", IF(AU16&lt;0.5, "Complete", "In Progress"))</f>
        <v>Complete</v>
      </c>
      <c r="AW16" s="22">
        <v>0</v>
      </c>
      <c r="AX16" s="22">
        <f t="shared" si="35"/>
        <v>0</v>
      </c>
      <c r="AY16" s="23" t="str">
        <f>IF(SUMPRODUCT($J$19:AX$19,$J16:AX16)&lt;0.5,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IF(SUMPRODUCT($J$19:BA$19,$J16:BA16)&lt;0.5, "Pending", IF(BA16&lt;0.5, "Complete", "In Progress"))</f>
        <v>#REF!</v>
      </c>
      <c r="BC16" s="22">
        <v>0</v>
      </c>
      <c r="BD16" s="22" t="e">
        <f t="shared" si="36"/>
        <v>#REF!</v>
      </c>
      <c r="BE16" s="23" t="e">
        <f>IF(SUMPRODUCT($J$19:BD$19,$J16:BD16)&lt;0.5, "Pending", IF(BD16&lt;0.5, "Complete", "In Progress"))</f>
        <v>#REF!</v>
      </c>
      <c r="BF16" s="22">
        <v>0</v>
      </c>
      <c r="BG16" s="22" t="e">
        <f t="shared" si="37"/>
        <v>#REF!</v>
      </c>
      <c r="BH16" s="23" t="e">
        <f>IF(SUMPRODUCT($J$19:BG$19,$J16:BG16)&lt;0.5, "Pending", IF(BG16&lt;0.5, "Complete", "In Progress"))</f>
        <v>#REF!</v>
      </c>
      <c r="BI16" s="22">
        <v>0</v>
      </c>
      <c r="BJ16" s="22" t="e">
        <f t="shared" si="38"/>
        <v>#REF!</v>
      </c>
      <c r="BK16" s="23" t="e">
        <f>IF(SUMPRODUCT($J$19:BJ$19,$J16:BJ16)&lt;0.5, "Pending", IF(BJ16&lt;0.5, "Complete", "In Progress"))</f>
        <v>#REF!</v>
      </c>
      <c r="BL16" s="22">
        <v>0</v>
      </c>
      <c r="BM16" s="22" t="e">
        <f t="shared" si="39"/>
        <v>#REF!</v>
      </c>
      <c r="BN16" s="23" t="e">
        <f>IF(SUMPRODUCT($J$19:BM$19,$J16:BM16)&lt;0.5, "Pending", IF(BM16&lt;0.5, "Complete", "In Progress"))</f>
        <v>#REF!</v>
      </c>
      <c r="BO16" s="22">
        <v>0</v>
      </c>
      <c r="BP16" s="22" t="e">
        <f t="shared" si="40"/>
        <v>#REF!</v>
      </c>
      <c r="BQ16" s="23" t="e">
        <f>IF(SUMPRODUCT($J$19:BP$19,$J16:BP16)&lt;0.5, "Pending", IF(BP16&lt;0.5, "Complete", "In Progress"))</f>
        <v>#REF!</v>
      </c>
      <c r="BR16" s="22">
        <v>0</v>
      </c>
      <c r="BS16" s="22" t="e">
        <f t="shared" si="41"/>
        <v>#REF!</v>
      </c>
      <c r="BT16" s="23" t="e">
        <f>IF(SUMPRODUCT($J$19:BS$19,$J16:BS16)&lt;0.5, "Pending", IF(BS16&lt;0.5, "Complete", "In Progress"))</f>
        <v>#REF!</v>
      </c>
      <c r="BU16" s="22">
        <v>0</v>
      </c>
      <c r="BV16" s="22" t="e">
        <f t="shared" si="42"/>
        <v>#REF!</v>
      </c>
      <c r="BW16" s="23" t="e">
        <f>IF(SUMPRODUCT($J$19:BV$19,$J16:BV16)&lt;0.5, "Pending", IF(BV16&lt;0.5, "Complete", "In Progress"))</f>
        <v>#REF!</v>
      </c>
      <c r="BX16" s="22">
        <v>0</v>
      </c>
      <c r="BY16" s="22" t="e">
        <f t="shared" si="43"/>
        <v>#REF!</v>
      </c>
      <c r="BZ16" s="23" t="e">
        <f>IF(SUMPRODUCT($J$19:BY$19,$J16:BY16)&lt;0.5, "Pending", IF(BY16&lt;0.5, "Complete", "In Progress"))</f>
        <v>#REF!</v>
      </c>
      <c r="CA16" s="22">
        <v>0</v>
      </c>
      <c r="CB16" s="22" t="e">
        <f t="shared" si="44"/>
        <v>#REF!</v>
      </c>
      <c r="CC16" s="23" t="e">
        <f>IF(SUMPRODUCT($J$19:CB$19,$J16:CB16)&lt;0.5, "Pending", IF(CB16&lt;0.5, "Complete", "In Progress"))</f>
        <v>#REF!</v>
      </c>
      <c r="CD16" s="24"/>
      <c r="CE16" s="25">
        <f>SUMPRODUCT($H$19:AY$19,$H16:AY16)</f>
        <v>5</v>
      </c>
    </row>
    <row r="17" spans="1:83" x14ac:dyDescent="0.2">
      <c r="A17" s="16" t="s">
        <v>102</v>
      </c>
      <c r="B17" s="16" t="s">
        <v>106</v>
      </c>
      <c r="C17" s="16" t="s">
        <v>154</v>
      </c>
      <c r="D17" s="17">
        <v>14</v>
      </c>
      <c r="E17" s="157" t="s">
        <v>154</v>
      </c>
      <c r="F17" s="18" t="s">
        <v>141</v>
      </c>
      <c r="G17" s="19" t="str">
        <f t="shared" ref="G17" ca="1" si="46">(INDEX(Burndown,ROW(G17)-ROW(G$3),MIN(TODAY()-SprintStart,29)*3+3))</f>
        <v>Complete</v>
      </c>
      <c r="H17" s="20">
        <v>1</v>
      </c>
      <c r="I17" s="21">
        <v>5</v>
      </c>
      <c r="J17" s="22">
        <v>0</v>
      </c>
      <c r="K17" s="22">
        <v>5</v>
      </c>
      <c r="L17" s="23" t="str">
        <f>IF(SUMPRODUCT($J$19:K$19,$J17:K17)&lt;0.5, "Pending", IF(K17&lt;0.5, "Complete", "In Progress"))</f>
        <v>Pending</v>
      </c>
      <c r="M17" s="22">
        <v>0</v>
      </c>
      <c r="N17" s="22">
        <f t="shared" si="24"/>
        <v>5</v>
      </c>
      <c r="O17" s="23" t="str">
        <f>IF(SUMPRODUCT($J$19:N$19,$J17:N17)&lt;0.5, "Pending", IF(N17&lt;0.5, "Complete", "In Progress"))</f>
        <v>Pending</v>
      </c>
      <c r="P17" s="22">
        <v>2</v>
      </c>
      <c r="Q17" s="22">
        <f t="shared" si="45"/>
        <v>3</v>
      </c>
      <c r="R17" s="23" t="str">
        <f>IF(SUMPRODUCT($J$19:Q$19,$J17:Q17)&lt;0.5, "Pending", IF(Q17&lt;0.5, "Complete", "In Progress"))</f>
        <v>In Progress</v>
      </c>
      <c r="S17" s="22">
        <v>2</v>
      </c>
      <c r="T17" s="22">
        <f t="shared" si="25"/>
        <v>1</v>
      </c>
      <c r="U17" s="23" t="str">
        <f>IF(SUMPRODUCT($J$19:T$19,$J17:T17)&lt;0.5, "Pending", IF(T17&lt;0.5, "Complete", "In Progress"))</f>
        <v>In Progress</v>
      </c>
      <c r="V17" s="22">
        <v>1</v>
      </c>
      <c r="W17" s="22">
        <f t="shared" si="26"/>
        <v>0</v>
      </c>
      <c r="X17" s="23" t="str">
        <f>IF(SUMPRODUCT($J$19:W$19,$J17:W17)&lt;0.5, "Pending", IF(W17&lt;0.5, "Complete", "In Progress"))</f>
        <v>Complete</v>
      </c>
      <c r="Y17" s="22">
        <v>0</v>
      </c>
      <c r="Z17" s="22">
        <f t="shared" si="27"/>
        <v>0</v>
      </c>
      <c r="AA17" s="23" t="str">
        <f>IF(SUMPRODUCT($J$19:Z$19,$J17:Z17)&lt;0.5, "Pending", IF(Z17&lt;0.5, "Complete", "In Progress"))</f>
        <v>Complete</v>
      </c>
      <c r="AB17" s="22">
        <v>0</v>
      </c>
      <c r="AC17" s="22">
        <f t="shared" si="28"/>
        <v>0</v>
      </c>
      <c r="AD17" s="23" t="str">
        <f>IF(SUMPRODUCT($J$19:AC$19,$J17:AC17)&lt;0.5, "Pending", IF(AC17&lt;0.5, "Complete", "In Progress"))</f>
        <v>Complete</v>
      </c>
      <c r="AE17" s="22">
        <v>0</v>
      </c>
      <c r="AF17" s="22">
        <f t="shared" si="29"/>
        <v>0</v>
      </c>
      <c r="AG17" s="23" t="str">
        <f>IF(SUMPRODUCT($J$19:AF$19,$J17:AF17)&lt;0.5, "Pending", IF(AF17&lt;0.5, "Complete", "In Progress"))</f>
        <v>Complete</v>
      </c>
      <c r="AH17" s="22">
        <v>0</v>
      </c>
      <c r="AI17" s="22">
        <f t="shared" si="30"/>
        <v>0</v>
      </c>
      <c r="AJ17" s="23" t="str">
        <f>IF(SUMPRODUCT($J$19:AI$19,$J17:AI17)&lt;0.5, "Pending", IF(AI17&lt;0.5, "Complete", "In Progress"))</f>
        <v>Complete</v>
      </c>
      <c r="AK17" s="22">
        <v>0</v>
      </c>
      <c r="AL17" s="22">
        <f t="shared" si="31"/>
        <v>0</v>
      </c>
      <c r="AM17" s="23" t="str">
        <f>IF(SUMPRODUCT($J$19:AL$19,$J17:AL17)&lt;0.5, "Pending", IF(AL17&lt;0.5, "Complete", "In Progress"))</f>
        <v>Complete</v>
      </c>
      <c r="AN17" s="22">
        <v>0</v>
      </c>
      <c r="AO17" s="22">
        <f t="shared" si="32"/>
        <v>0</v>
      </c>
      <c r="AP17" s="23" t="str">
        <f>IF(SUMPRODUCT($J$19:AO$19,$J17:AO17)&lt;0.5, "Pending", IF(AO17&lt;0.5, "Complete", "In Progress"))</f>
        <v>Complete</v>
      </c>
      <c r="AQ17" s="22">
        <v>0</v>
      </c>
      <c r="AR17" s="22">
        <f t="shared" si="33"/>
        <v>0</v>
      </c>
      <c r="AS17" s="23" t="str">
        <f>IF(SUMPRODUCT($J$19:AR$19,$J17:AR17)&lt;0.5, "Pending", IF(AR17&lt;0.5, "Complete", "In Progress"))</f>
        <v>Complete</v>
      </c>
      <c r="AT17" s="22">
        <v>0</v>
      </c>
      <c r="AU17" s="22">
        <f t="shared" si="34"/>
        <v>0</v>
      </c>
      <c r="AV17" s="23" t="str">
        <f>IF(SUMPRODUCT($J$19:AU$19,$J17:AU17)&lt;0.5, "Pending", IF(AU17&lt;0.5, "Complete", "In Progress"))</f>
        <v>Complete</v>
      </c>
      <c r="AW17" s="22">
        <v>0</v>
      </c>
      <c r="AX17" s="22">
        <f t="shared" si="35"/>
        <v>0</v>
      </c>
      <c r="AY17" s="23" t="str">
        <f>IF(SUMPRODUCT($J$19:AX$19,$J17:AX17)&lt;0.5,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IF(SUMPRODUCT($J$19:BA$19,$J17:BA17)&lt;0.5, "Pending", IF(BA17&lt;0.5, "Complete", "In Progress"))</f>
        <v>#REF!</v>
      </c>
      <c r="BC17" s="22">
        <v>0</v>
      </c>
      <c r="BD17" s="22" t="e">
        <f t="shared" si="36"/>
        <v>#REF!</v>
      </c>
      <c r="BE17" s="23" t="e">
        <f>IF(SUMPRODUCT($J$19:BD$19,$J17:BD17)&lt;0.5, "Pending", IF(BD17&lt;0.5, "Complete", "In Progress"))</f>
        <v>#REF!</v>
      </c>
      <c r="BF17" s="22">
        <v>0</v>
      </c>
      <c r="BG17" s="22" t="e">
        <f t="shared" si="37"/>
        <v>#REF!</v>
      </c>
      <c r="BH17" s="23" t="e">
        <f>IF(SUMPRODUCT($J$19:BG$19,$J17:BG17)&lt;0.5, "Pending", IF(BG17&lt;0.5, "Complete", "In Progress"))</f>
        <v>#REF!</v>
      </c>
      <c r="BI17" s="22">
        <v>0</v>
      </c>
      <c r="BJ17" s="22" t="e">
        <f t="shared" si="38"/>
        <v>#REF!</v>
      </c>
      <c r="BK17" s="23" t="e">
        <f>IF(SUMPRODUCT($J$19:BJ$19,$J17:BJ17)&lt;0.5, "Pending", IF(BJ17&lt;0.5, "Complete", "In Progress"))</f>
        <v>#REF!</v>
      </c>
      <c r="BL17" s="22">
        <v>0</v>
      </c>
      <c r="BM17" s="22" t="e">
        <f t="shared" si="39"/>
        <v>#REF!</v>
      </c>
      <c r="BN17" s="23" t="e">
        <f>IF(SUMPRODUCT($J$19:BM$19,$J17:BM17)&lt;0.5, "Pending", IF(BM17&lt;0.5, "Complete", "In Progress"))</f>
        <v>#REF!</v>
      </c>
      <c r="BO17" s="22">
        <v>0</v>
      </c>
      <c r="BP17" s="22" t="e">
        <f t="shared" si="40"/>
        <v>#REF!</v>
      </c>
      <c r="BQ17" s="23" t="e">
        <f>IF(SUMPRODUCT($J$19:BP$19,$J17:BP17)&lt;0.5, "Pending", IF(BP17&lt;0.5, "Complete", "In Progress"))</f>
        <v>#REF!</v>
      </c>
      <c r="BR17" s="22">
        <v>0</v>
      </c>
      <c r="BS17" s="22" t="e">
        <f t="shared" si="41"/>
        <v>#REF!</v>
      </c>
      <c r="BT17" s="23" t="e">
        <f>IF(SUMPRODUCT($J$19:BS$19,$J17:BS17)&lt;0.5, "Pending", IF(BS17&lt;0.5, "Complete", "In Progress"))</f>
        <v>#REF!</v>
      </c>
      <c r="BU17" s="22">
        <v>0</v>
      </c>
      <c r="BV17" s="22" t="e">
        <f t="shared" si="42"/>
        <v>#REF!</v>
      </c>
      <c r="BW17" s="23" t="e">
        <f>IF(SUMPRODUCT($J$19:BV$19,$J17:BV17)&lt;0.5, "Pending", IF(BV17&lt;0.5, "Complete", "In Progress"))</f>
        <v>#REF!</v>
      </c>
      <c r="BX17" s="22">
        <v>0</v>
      </c>
      <c r="BY17" s="22" t="e">
        <f t="shared" si="43"/>
        <v>#REF!</v>
      </c>
      <c r="BZ17" s="23" t="e">
        <f>IF(SUMPRODUCT($J$19:BY$19,$J17:BY17)&lt;0.5, "Pending", IF(BY17&lt;0.5, "Complete", "In Progress"))</f>
        <v>#REF!</v>
      </c>
      <c r="CA17" s="22">
        <v>0</v>
      </c>
      <c r="CB17" s="22" t="e">
        <f t="shared" si="44"/>
        <v>#REF!</v>
      </c>
      <c r="CC17" s="23" t="e">
        <f>IF(SUMPRODUCT($J$19:CB$19,$J17:CB17)&lt;0.5, "Pending", IF(CB17&lt;0.5, "Complete", "In Progress"))</f>
        <v>#REF!</v>
      </c>
      <c r="CD17" s="24"/>
      <c r="CE17" s="25">
        <f>SUMPRODUCT($H$19:AY$19,$H17:AY17)</f>
        <v>5</v>
      </c>
    </row>
    <row r="18" spans="1:83" x14ac:dyDescent="0.2">
      <c r="A18" s="16"/>
      <c r="B18" s="16"/>
      <c r="C18" s="16"/>
      <c r="D18" s="17"/>
      <c r="E18" s="157"/>
      <c r="F18" s="18" t="s">
        <v>128</v>
      </c>
      <c r="G18" s="19">
        <f t="shared" ref="G18" ca="1" si="47">(INDEX(Burndown,ROW(G18)-ROW(G$3),MIN(TODAY()-SprintStart,29)*3+3))</f>
        <v>0</v>
      </c>
      <c r="H18" s="20">
        <v>1</v>
      </c>
      <c r="I18" s="21">
        <v>0</v>
      </c>
      <c r="J18" s="24"/>
      <c r="K18" s="24"/>
      <c r="L18" s="24"/>
      <c r="M18" s="27"/>
      <c r="N18" s="27"/>
      <c r="O18" s="24"/>
      <c r="P18" s="27"/>
      <c r="Q18" s="27"/>
      <c r="R18" s="24"/>
      <c r="S18" s="27"/>
      <c r="T18" s="27"/>
      <c r="U18" s="27"/>
      <c r="V18" s="27"/>
      <c r="W18" s="27"/>
      <c r="X18" s="24"/>
      <c r="Y18" s="27"/>
      <c r="Z18" s="27"/>
      <c r="AA18" s="24"/>
      <c r="AB18" s="27"/>
      <c r="AC18" s="27"/>
      <c r="AD18" s="24"/>
      <c r="AE18" s="27"/>
      <c r="AF18" s="27"/>
      <c r="AG18" s="24"/>
      <c r="AH18" s="27"/>
      <c r="AI18" s="27"/>
      <c r="AJ18" s="24"/>
      <c r="AK18" s="27"/>
      <c r="AL18" s="27"/>
      <c r="AM18" s="24"/>
      <c r="AN18" s="27"/>
      <c r="AO18" s="27"/>
      <c r="AP18" s="24"/>
      <c r="AQ18" s="27"/>
      <c r="AR18" s="27"/>
      <c r="AS18" s="24"/>
      <c r="AT18" s="27"/>
      <c r="AU18" s="27"/>
      <c r="AV18" s="24"/>
      <c r="AW18" s="27"/>
      <c r="AX18" s="27"/>
      <c r="AY18" s="24"/>
      <c r="AZ18" s="27"/>
      <c r="BA18" s="27"/>
      <c r="BB18" s="24"/>
      <c r="BC18" s="27"/>
      <c r="BD18" s="27"/>
      <c r="BE18" s="24"/>
      <c r="BF18" s="27"/>
      <c r="BG18" s="27"/>
      <c r="BH18" s="24"/>
      <c r="BI18" s="27"/>
      <c r="BJ18" s="27"/>
      <c r="BK18" s="24"/>
      <c r="BL18" s="27"/>
      <c r="BM18" s="27"/>
      <c r="BN18" s="24"/>
      <c r="BO18" s="27"/>
      <c r="BP18" s="27"/>
      <c r="BQ18" s="24"/>
      <c r="BR18" s="27"/>
      <c r="BS18" s="27"/>
      <c r="BT18" s="24"/>
      <c r="BU18" s="27"/>
      <c r="BV18" s="27"/>
      <c r="BW18" s="24"/>
      <c r="BX18" s="27"/>
      <c r="BY18" s="27"/>
      <c r="BZ18" s="24"/>
      <c r="CA18" s="27"/>
      <c r="CB18" s="27"/>
      <c r="CC18" s="24"/>
      <c r="CD18" s="24"/>
      <c r="CE18" s="28">
        <f>SUMPRODUCT($H$20:BK$20,$H18:BK18)</f>
        <v>0</v>
      </c>
    </row>
    <row r="19" spans="1:83" x14ac:dyDescent="0.2">
      <c r="A19" s="26"/>
      <c r="B19" s="26"/>
      <c r="C19" s="26"/>
      <c r="D19" s="26"/>
      <c r="E19" s="26"/>
      <c r="F19" s="26"/>
      <c r="G19" s="26"/>
      <c r="H19" s="26"/>
      <c r="I19" s="26"/>
      <c r="J19" s="135">
        <v>1</v>
      </c>
      <c r="K19" s="135">
        <v>0</v>
      </c>
      <c r="L19" s="30">
        <v>0</v>
      </c>
      <c r="M19" s="30">
        <v>1</v>
      </c>
      <c r="N19" s="30">
        <v>0</v>
      </c>
      <c r="O19" s="30">
        <v>0</v>
      </c>
      <c r="P19" s="30">
        <v>1</v>
      </c>
      <c r="Q19" s="30">
        <v>0</v>
      </c>
      <c r="R19" s="30">
        <v>0</v>
      </c>
      <c r="S19" s="30">
        <v>1</v>
      </c>
      <c r="T19" s="30">
        <v>0</v>
      </c>
      <c r="U19" s="30">
        <v>0</v>
      </c>
      <c r="V19" s="30">
        <v>1</v>
      </c>
      <c r="W19" s="30">
        <v>0</v>
      </c>
      <c r="X19" s="30">
        <v>0</v>
      </c>
      <c r="Y19" s="30">
        <v>1</v>
      </c>
      <c r="Z19" s="30">
        <v>0</v>
      </c>
      <c r="AA19" s="30">
        <v>0</v>
      </c>
      <c r="AB19" s="30">
        <v>1</v>
      </c>
      <c r="AC19" s="30">
        <v>0</v>
      </c>
      <c r="AD19" s="30">
        <v>0</v>
      </c>
      <c r="AE19" s="30">
        <v>1</v>
      </c>
      <c r="AF19" s="30">
        <v>0</v>
      </c>
      <c r="AG19" s="30">
        <v>0</v>
      </c>
      <c r="AH19" s="30">
        <v>1</v>
      </c>
      <c r="AI19" s="30">
        <v>0</v>
      </c>
      <c r="AJ19" s="30">
        <v>0</v>
      </c>
      <c r="AK19" s="30">
        <v>1</v>
      </c>
      <c r="AL19" s="30">
        <v>0</v>
      </c>
      <c r="AM19" s="30">
        <v>0</v>
      </c>
      <c r="AN19" s="30">
        <v>1</v>
      </c>
      <c r="AO19" s="30">
        <v>0</v>
      </c>
      <c r="AP19" s="30">
        <v>0</v>
      </c>
      <c r="AQ19" s="30">
        <v>1</v>
      </c>
      <c r="AR19" s="30">
        <v>0</v>
      </c>
      <c r="AS19" s="30">
        <v>0</v>
      </c>
      <c r="AT19" s="30">
        <v>1</v>
      </c>
      <c r="AU19" s="30">
        <v>0</v>
      </c>
      <c r="AV19" s="30">
        <v>0</v>
      </c>
      <c r="AW19" s="30">
        <v>1</v>
      </c>
      <c r="AX19" s="30">
        <v>0</v>
      </c>
      <c r="AY19" s="30">
        <v>0</v>
      </c>
      <c r="AZ19" s="30">
        <v>1</v>
      </c>
      <c r="BA19" s="30">
        <v>0</v>
      </c>
      <c r="BB19" s="30">
        <v>0</v>
      </c>
      <c r="BC19" s="30">
        <v>1</v>
      </c>
      <c r="BD19" s="30">
        <v>0</v>
      </c>
      <c r="BE19" s="30">
        <v>0</v>
      </c>
      <c r="BF19" s="30">
        <v>1</v>
      </c>
      <c r="BG19" s="30">
        <v>0</v>
      </c>
      <c r="BH19" s="30">
        <v>0</v>
      </c>
      <c r="BI19" s="30">
        <v>1</v>
      </c>
      <c r="BJ19" s="30">
        <v>0</v>
      </c>
      <c r="BK19" s="30">
        <v>0</v>
      </c>
      <c r="BL19" s="30">
        <v>1</v>
      </c>
      <c r="BM19" s="30">
        <v>0</v>
      </c>
      <c r="BN19" s="30">
        <v>0</v>
      </c>
      <c r="BO19" s="30">
        <v>1</v>
      </c>
      <c r="BP19" s="30">
        <v>0</v>
      </c>
      <c r="BQ19" s="30">
        <v>0</v>
      </c>
      <c r="BR19" s="30">
        <v>1</v>
      </c>
      <c r="BS19" s="30">
        <v>0</v>
      </c>
      <c r="BT19" s="30">
        <v>0</v>
      </c>
      <c r="BU19" s="30">
        <v>1</v>
      </c>
      <c r="BV19" s="30">
        <v>0</v>
      </c>
      <c r="BW19" s="30">
        <v>0</v>
      </c>
      <c r="BX19" s="30">
        <v>1</v>
      </c>
      <c r="BY19" s="30">
        <v>0</v>
      </c>
      <c r="BZ19" s="30">
        <v>0</v>
      </c>
      <c r="CA19" s="30">
        <v>1</v>
      </c>
      <c r="CB19" s="30">
        <v>0</v>
      </c>
      <c r="CC19" s="30">
        <v>0</v>
      </c>
      <c r="CD19" s="30"/>
      <c r="CE19" s="31"/>
    </row>
    <row r="20" spans="1:83" x14ac:dyDescent="0.2">
      <c r="A20" s="29"/>
      <c r="B20" s="29"/>
      <c r="C20" s="29"/>
      <c r="D20" s="29"/>
      <c r="E20" s="29"/>
      <c r="F20" s="29"/>
      <c r="G20" s="1"/>
      <c r="H20" s="29"/>
      <c r="I20" s="29"/>
      <c r="J20" s="24">
        <v>0</v>
      </c>
      <c r="K20" s="135">
        <v>1</v>
      </c>
      <c r="L20" s="30">
        <v>0</v>
      </c>
      <c r="M20" s="33">
        <v>0</v>
      </c>
      <c r="N20" s="30">
        <v>1</v>
      </c>
      <c r="O20" s="30">
        <v>0</v>
      </c>
      <c r="P20" s="33">
        <v>0</v>
      </c>
      <c r="Q20" s="30">
        <v>1</v>
      </c>
      <c r="R20" s="30">
        <v>0</v>
      </c>
      <c r="S20" s="33">
        <v>0</v>
      </c>
      <c r="T20" s="30">
        <v>1</v>
      </c>
      <c r="U20" s="30">
        <v>0</v>
      </c>
      <c r="V20" s="33">
        <v>0</v>
      </c>
      <c r="W20" s="30">
        <v>1</v>
      </c>
      <c r="X20" s="30">
        <v>0</v>
      </c>
      <c r="Y20" s="33">
        <v>0</v>
      </c>
      <c r="Z20" s="30">
        <v>1</v>
      </c>
      <c r="AA20" s="30">
        <v>0</v>
      </c>
      <c r="AB20" s="33">
        <v>0</v>
      </c>
      <c r="AC20" s="30">
        <v>1</v>
      </c>
      <c r="AD20" s="30">
        <v>0</v>
      </c>
      <c r="AE20" s="33">
        <v>0</v>
      </c>
      <c r="AF20" s="30">
        <v>1</v>
      </c>
      <c r="AG20" s="30">
        <v>0</v>
      </c>
      <c r="AH20" s="33">
        <v>0</v>
      </c>
      <c r="AI20" s="30">
        <v>1</v>
      </c>
      <c r="AJ20" s="30">
        <v>0</v>
      </c>
      <c r="AK20" s="33">
        <v>0</v>
      </c>
      <c r="AL20" s="30">
        <v>1</v>
      </c>
      <c r="AM20" s="30">
        <v>0</v>
      </c>
      <c r="AN20" s="33">
        <v>0</v>
      </c>
      <c r="AO20" s="30">
        <v>1</v>
      </c>
      <c r="AP20" s="30">
        <v>0</v>
      </c>
      <c r="AQ20" s="33">
        <v>0</v>
      </c>
      <c r="AR20" s="30">
        <v>1</v>
      </c>
      <c r="AS20" s="30">
        <v>0</v>
      </c>
      <c r="AT20" s="33">
        <v>0</v>
      </c>
      <c r="AU20" s="30">
        <v>1</v>
      </c>
      <c r="AV20" s="30">
        <v>0</v>
      </c>
      <c r="AW20" s="33">
        <v>0</v>
      </c>
      <c r="AX20" s="30">
        <v>1</v>
      </c>
      <c r="AY20" s="30">
        <v>0</v>
      </c>
      <c r="AZ20" s="33">
        <v>0</v>
      </c>
      <c r="BA20" s="30">
        <v>1</v>
      </c>
      <c r="BB20" s="30">
        <v>0</v>
      </c>
      <c r="BC20" s="33">
        <v>0</v>
      </c>
      <c r="BD20" s="30">
        <v>1</v>
      </c>
      <c r="BE20" s="30">
        <v>0</v>
      </c>
      <c r="BF20" s="33">
        <v>0</v>
      </c>
      <c r="BG20" s="30">
        <v>1</v>
      </c>
      <c r="BH20" s="30">
        <v>0</v>
      </c>
      <c r="BI20" s="33">
        <v>0</v>
      </c>
      <c r="BJ20" s="30">
        <v>1</v>
      </c>
      <c r="BK20" s="30">
        <v>0</v>
      </c>
      <c r="BL20" s="33">
        <v>0</v>
      </c>
      <c r="BM20" s="30">
        <v>1</v>
      </c>
      <c r="BN20" s="30">
        <v>0</v>
      </c>
      <c r="BO20" s="33">
        <v>0</v>
      </c>
      <c r="BP20" s="30">
        <v>1</v>
      </c>
      <c r="BQ20" s="30">
        <v>0</v>
      </c>
      <c r="BR20" s="33">
        <v>0</v>
      </c>
      <c r="BS20" s="30">
        <v>1</v>
      </c>
      <c r="BT20" s="30">
        <v>0</v>
      </c>
      <c r="BU20" s="33">
        <v>0</v>
      </c>
      <c r="BV20" s="30">
        <v>1</v>
      </c>
      <c r="BW20" s="30">
        <v>0</v>
      </c>
      <c r="BX20" s="33">
        <v>0</v>
      </c>
      <c r="BY20" s="30">
        <v>1</v>
      </c>
      <c r="BZ20" s="30">
        <v>0</v>
      </c>
      <c r="CA20" s="33">
        <v>0</v>
      </c>
      <c r="CB20" s="30">
        <v>1</v>
      </c>
      <c r="CC20" s="30">
        <v>0</v>
      </c>
      <c r="CD20" s="30"/>
    </row>
    <row r="21" spans="1:83" x14ac:dyDescent="0.2">
      <c r="A21" s="30"/>
      <c r="B21" s="30"/>
      <c r="C21" s="30"/>
      <c r="D21" s="30"/>
      <c r="E21" s="30" t="s">
        <v>10</v>
      </c>
      <c r="F21" s="30"/>
      <c r="G21" s="30"/>
      <c r="H21" s="30"/>
      <c r="I21" s="30"/>
      <c r="J21" s="24">
        <v>0</v>
      </c>
      <c r="K21" s="135">
        <v>0</v>
      </c>
      <c r="L21" s="30">
        <v>1</v>
      </c>
      <c r="M21" s="33">
        <v>0</v>
      </c>
      <c r="N21" s="30">
        <v>0</v>
      </c>
      <c r="O21" s="30">
        <v>1</v>
      </c>
      <c r="P21" s="33">
        <v>0</v>
      </c>
      <c r="Q21" s="30">
        <v>0</v>
      </c>
      <c r="R21" s="30">
        <v>1</v>
      </c>
      <c r="S21" s="33">
        <v>0</v>
      </c>
      <c r="T21" s="30">
        <v>0</v>
      </c>
      <c r="U21" s="30">
        <v>1</v>
      </c>
      <c r="V21" s="33">
        <v>0</v>
      </c>
      <c r="W21" s="30">
        <v>0</v>
      </c>
      <c r="X21" s="30">
        <v>1</v>
      </c>
      <c r="Y21" s="33">
        <v>0</v>
      </c>
      <c r="Z21" s="30">
        <v>0</v>
      </c>
      <c r="AA21" s="30">
        <v>1</v>
      </c>
      <c r="AB21" s="33">
        <v>0</v>
      </c>
      <c r="AC21" s="30">
        <v>0</v>
      </c>
      <c r="AD21" s="30">
        <v>1</v>
      </c>
      <c r="AE21" s="33">
        <v>0</v>
      </c>
      <c r="AF21" s="30">
        <v>0</v>
      </c>
      <c r="AG21" s="30">
        <v>1</v>
      </c>
      <c r="AH21" s="33">
        <v>0</v>
      </c>
      <c r="AI21" s="30">
        <v>0</v>
      </c>
      <c r="AJ21" s="30">
        <v>1</v>
      </c>
      <c r="AK21" s="33">
        <v>0</v>
      </c>
      <c r="AL21" s="30">
        <v>0</v>
      </c>
      <c r="AM21" s="30">
        <v>1</v>
      </c>
      <c r="AN21" s="33">
        <v>0</v>
      </c>
      <c r="AO21" s="30">
        <v>0</v>
      </c>
      <c r="AP21" s="30">
        <v>1</v>
      </c>
      <c r="AQ21" s="33">
        <v>0</v>
      </c>
      <c r="AR21" s="30">
        <v>0</v>
      </c>
      <c r="AS21" s="30">
        <v>1</v>
      </c>
      <c r="AT21" s="33">
        <v>0</v>
      </c>
      <c r="AU21" s="30">
        <v>0</v>
      </c>
      <c r="AV21" s="30">
        <v>1</v>
      </c>
      <c r="AW21" s="33">
        <v>0</v>
      </c>
      <c r="AX21" s="30">
        <v>0</v>
      </c>
      <c r="AY21" s="30">
        <v>1</v>
      </c>
      <c r="AZ21" s="33">
        <v>0</v>
      </c>
      <c r="BA21" s="30">
        <v>0</v>
      </c>
      <c r="BB21" s="30">
        <v>1</v>
      </c>
      <c r="BC21" s="33">
        <v>0</v>
      </c>
      <c r="BD21" s="30">
        <v>0</v>
      </c>
      <c r="BE21" s="30">
        <v>1</v>
      </c>
      <c r="BF21" s="33">
        <v>0</v>
      </c>
      <c r="BG21" s="30">
        <v>0</v>
      </c>
      <c r="BH21" s="30">
        <v>1</v>
      </c>
      <c r="BI21" s="33">
        <v>0</v>
      </c>
      <c r="BJ21" s="30">
        <v>0</v>
      </c>
      <c r="BK21" s="30">
        <v>1</v>
      </c>
      <c r="BL21" s="33">
        <v>0</v>
      </c>
      <c r="BM21" s="30">
        <v>0</v>
      </c>
      <c r="BN21" s="30">
        <v>1</v>
      </c>
      <c r="BO21" s="33">
        <v>0</v>
      </c>
      <c r="BP21" s="30">
        <v>0</v>
      </c>
      <c r="BQ21" s="30">
        <v>1</v>
      </c>
      <c r="BR21" s="33">
        <v>0</v>
      </c>
      <c r="BS21" s="30">
        <v>0</v>
      </c>
      <c r="BT21" s="30">
        <v>1</v>
      </c>
      <c r="BU21" s="33">
        <v>0</v>
      </c>
      <c r="BV21" s="30">
        <v>0</v>
      </c>
      <c r="BW21" s="30">
        <v>1</v>
      </c>
      <c r="BX21" s="33">
        <v>0</v>
      </c>
      <c r="BY21" s="30">
        <v>0</v>
      </c>
      <c r="BZ21" s="30">
        <v>1</v>
      </c>
      <c r="CA21" s="33">
        <v>0</v>
      </c>
      <c r="CB21" s="30">
        <v>0</v>
      </c>
      <c r="CC21" s="30">
        <v>1</v>
      </c>
      <c r="CD21" s="30"/>
    </row>
    <row r="22" spans="1:83" x14ac:dyDescent="0.2">
      <c r="A22" s="32"/>
      <c r="B22" s="32"/>
      <c r="C22" s="32"/>
      <c r="D22" s="32"/>
      <c r="E22" s="30" t="s">
        <v>12</v>
      </c>
      <c r="F22" s="30"/>
      <c r="G22" s="30"/>
      <c r="H22" s="30"/>
      <c r="I22" s="30"/>
      <c r="J22" s="136">
        <f>SUBTOTAL(109,J$4:J$18)</f>
        <v>13</v>
      </c>
      <c r="K22" s="136">
        <f>SUBTOTAL(109,K$4:K$17)</f>
        <v>56</v>
      </c>
      <c r="L22" s="37"/>
      <c r="M22" s="37">
        <f>SUBTOTAL(109,M$4:M$18)</f>
        <v>15</v>
      </c>
      <c r="N22" s="37">
        <f>SUBTOTAL(109,N$4:N$17)</f>
        <v>41</v>
      </c>
      <c r="O22" s="37"/>
      <c r="P22" s="37">
        <f>SUBTOTAL(109,P$4:P$18)</f>
        <v>15</v>
      </c>
      <c r="Q22" s="37">
        <f>SUBTOTAL(109,Q$4:Q$17)</f>
        <v>26</v>
      </c>
      <c r="R22" s="37"/>
      <c r="S22" s="37">
        <f>SUBTOTAL(109,S$4:S$18)</f>
        <v>13</v>
      </c>
      <c r="T22" s="37">
        <f>SUBTOTAL(109,T$4:T$17)</f>
        <v>13</v>
      </c>
      <c r="U22" s="37"/>
      <c r="V22" s="37">
        <f>SUBTOTAL(109,V$4:V$18)</f>
        <v>14</v>
      </c>
      <c r="W22" s="37">
        <f>SUBTOTAL(109,W$4:W$17)</f>
        <v>0</v>
      </c>
      <c r="X22" s="37"/>
      <c r="Y22" s="37">
        <f>SUBTOTAL(109,Y$4:Y$18)</f>
        <v>0</v>
      </c>
      <c r="Z22" s="37">
        <f>SUBTOTAL(109,Z$4:Z$17)</f>
        <v>0</v>
      </c>
      <c r="AA22" s="37"/>
      <c r="AB22" s="37">
        <f>SUBTOTAL(109,AB$4:AB$18)</f>
        <v>0</v>
      </c>
      <c r="AC22" s="37">
        <f>SUBTOTAL(109,AC$4:AC$17)</f>
        <v>0</v>
      </c>
      <c r="AD22" s="37"/>
      <c r="AE22" s="37">
        <f>SUBTOTAL(109,AE$4:AE$18)</f>
        <v>0</v>
      </c>
      <c r="AF22" s="37">
        <f>SUBTOTAL(109,AF$4:AF$17)</f>
        <v>0</v>
      </c>
      <c r="AG22" s="37"/>
      <c r="AH22" s="37">
        <f>SUBTOTAL(109,AH$4:AH$18)</f>
        <v>0</v>
      </c>
      <c r="AI22" s="37">
        <f>SUBTOTAL(109,AI$4:AI$17)</f>
        <v>0</v>
      </c>
      <c r="AJ22" s="37"/>
      <c r="AK22" s="37">
        <f>SUBTOTAL(109,AK$4:AK$18)</f>
        <v>0</v>
      </c>
      <c r="AL22" s="37">
        <f>SUBTOTAL(109,AL$4:AL$17)</f>
        <v>0</v>
      </c>
      <c r="AM22" s="37"/>
      <c r="AN22" s="37">
        <f>SUBTOTAL(109,AN$4:AN$18)</f>
        <v>0</v>
      </c>
      <c r="AO22" s="37">
        <f>SUBTOTAL(109,AO$4:AO$17)</f>
        <v>0</v>
      </c>
      <c r="AP22" s="37"/>
      <c r="AQ22" s="37">
        <f>SUBTOTAL(109,AQ$4:AQ$18)</f>
        <v>0</v>
      </c>
      <c r="AR22" s="37">
        <f>SUBTOTAL(109,AR$4:AR$17)</f>
        <v>0</v>
      </c>
      <c r="AS22" s="37"/>
      <c r="AT22" s="37">
        <f>SUBTOTAL(109,AT$4:AT$18)</f>
        <v>0</v>
      </c>
      <c r="AU22" s="37">
        <f>SUBTOTAL(109,AU$4:AU$17)</f>
        <v>0</v>
      </c>
      <c r="AV22" s="37"/>
      <c r="AW22" s="37">
        <f>SUBTOTAL(109,AW$4:AW$18)</f>
        <v>0</v>
      </c>
      <c r="AX22" s="37">
        <f>SUBTOTAL(109,AX$4:AX$17)</f>
        <v>0</v>
      </c>
      <c r="AY22" s="37"/>
      <c r="AZ22" s="37">
        <f t="shared" ref="AZ22:CC22" si="48">SUBTOTAL(109,AZ$4:AZ$17)</f>
        <v>0</v>
      </c>
      <c r="BA22" s="37" t="e">
        <f t="shared" si="48"/>
        <v>#REF!</v>
      </c>
      <c r="BB22" s="37" t="e">
        <f t="shared" si="48"/>
        <v>#REF!</v>
      </c>
      <c r="BC22" s="37">
        <f t="shared" si="48"/>
        <v>0</v>
      </c>
      <c r="BD22" s="37" t="e">
        <f t="shared" si="48"/>
        <v>#REF!</v>
      </c>
      <c r="BE22" s="37" t="e">
        <f t="shared" si="48"/>
        <v>#REF!</v>
      </c>
      <c r="BF22" s="37">
        <f t="shared" si="48"/>
        <v>0</v>
      </c>
      <c r="BG22" s="37" t="e">
        <f t="shared" si="48"/>
        <v>#REF!</v>
      </c>
      <c r="BH22" s="37" t="e">
        <f t="shared" si="48"/>
        <v>#REF!</v>
      </c>
      <c r="BI22" s="37">
        <f t="shared" si="48"/>
        <v>0</v>
      </c>
      <c r="BJ22" s="37" t="e">
        <f t="shared" si="48"/>
        <v>#REF!</v>
      </c>
      <c r="BK22" s="37" t="e">
        <f t="shared" si="48"/>
        <v>#REF!</v>
      </c>
      <c r="BL22" s="37">
        <f t="shared" si="48"/>
        <v>0</v>
      </c>
      <c r="BM22" s="37" t="e">
        <f t="shared" si="48"/>
        <v>#REF!</v>
      </c>
      <c r="BN22" s="37" t="e">
        <f t="shared" si="48"/>
        <v>#REF!</v>
      </c>
      <c r="BO22" s="37">
        <f t="shared" si="48"/>
        <v>0</v>
      </c>
      <c r="BP22" s="37" t="e">
        <f t="shared" si="48"/>
        <v>#REF!</v>
      </c>
      <c r="BQ22" s="37" t="e">
        <f t="shared" si="48"/>
        <v>#REF!</v>
      </c>
      <c r="BR22" s="37">
        <f t="shared" si="48"/>
        <v>0</v>
      </c>
      <c r="BS22" s="37" t="e">
        <f t="shared" si="48"/>
        <v>#REF!</v>
      </c>
      <c r="BT22" s="37" t="e">
        <f t="shared" si="48"/>
        <v>#REF!</v>
      </c>
      <c r="BU22" s="37">
        <f t="shared" si="48"/>
        <v>0</v>
      </c>
      <c r="BV22" s="37" t="e">
        <f t="shared" si="48"/>
        <v>#REF!</v>
      </c>
      <c r="BW22" s="37" t="e">
        <f t="shared" si="48"/>
        <v>#REF!</v>
      </c>
      <c r="BX22" s="37">
        <f t="shared" si="48"/>
        <v>0</v>
      </c>
      <c r="BY22" s="37" t="e">
        <f t="shared" si="48"/>
        <v>#REF!</v>
      </c>
      <c r="BZ22" s="37" t="e">
        <f t="shared" si="48"/>
        <v>#REF!</v>
      </c>
      <c r="CA22" s="37">
        <f t="shared" si="48"/>
        <v>0</v>
      </c>
      <c r="CB22" s="37" t="e">
        <f t="shared" si="48"/>
        <v>#REF!</v>
      </c>
      <c r="CC22" s="37" t="e">
        <f t="shared" si="48"/>
        <v>#REF!</v>
      </c>
      <c r="CD22" s="36"/>
      <c r="CE22" s="38"/>
    </row>
    <row r="23" spans="1:83" x14ac:dyDescent="0.2">
      <c r="A23" s="30"/>
      <c r="B23" s="30"/>
      <c r="C23" s="30"/>
      <c r="D23" s="30"/>
      <c r="E23" s="34" t="s">
        <v>13</v>
      </c>
      <c r="F23" s="30"/>
      <c r="G23" s="30"/>
      <c r="H23" s="30"/>
      <c r="I23" s="30"/>
      <c r="J23" s="137"/>
      <c r="K23" s="138"/>
      <c r="L23" s="39"/>
      <c r="M23" s="40"/>
      <c r="N23" s="39"/>
      <c r="O23" s="39"/>
      <c r="P23" s="40"/>
      <c r="Q23" s="39"/>
      <c r="R23" s="39"/>
      <c r="S23" s="40"/>
      <c r="T23" s="39"/>
      <c r="U23" s="39"/>
      <c r="V23" s="40"/>
      <c r="W23" s="39"/>
      <c r="X23" s="39"/>
      <c r="Y23" s="40"/>
      <c r="Z23" s="39"/>
      <c r="AA23" s="39"/>
      <c r="AB23" s="40"/>
      <c r="AC23" s="39"/>
      <c r="AD23" s="39"/>
      <c r="AE23" s="40"/>
      <c r="AF23" s="39"/>
      <c r="AG23" s="39"/>
      <c r="AH23" s="40"/>
      <c r="AI23" s="39"/>
      <c r="AJ23" s="39"/>
      <c r="AK23" s="40"/>
      <c r="AL23" s="39"/>
      <c r="AM23" s="39"/>
      <c r="AN23" s="40"/>
      <c r="AO23" s="39"/>
      <c r="AP23" s="39"/>
      <c r="AQ23" s="40"/>
      <c r="AR23" s="39"/>
      <c r="AS23" s="39"/>
      <c r="AT23" s="40"/>
      <c r="AU23" s="39"/>
      <c r="AV23" s="39"/>
      <c r="AW23" s="40"/>
      <c r="AX23" s="39"/>
      <c r="AY23" s="39"/>
      <c r="AZ23" s="40"/>
      <c r="BA23" s="39"/>
      <c r="BB23" s="39"/>
      <c r="BC23" s="40"/>
      <c r="BD23" s="39"/>
      <c r="BE23" s="39"/>
      <c r="BF23" s="40"/>
      <c r="BG23" s="39"/>
      <c r="BH23" s="39"/>
      <c r="BI23" s="40"/>
      <c r="BJ23" s="39"/>
      <c r="BK23" s="39"/>
      <c r="BL23" s="40"/>
      <c r="BM23" s="39"/>
      <c r="BN23" s="39"/>
      <c r="BO23" s="40"/>
      <c r="BP23" s="39"/>
      <c r="BQ23" s="39"/>
      <c r="BR23" s="40"/>
      <c r="BS23" s="39"/>
      <c r="BT23" s="39"/>
      <c r="BU23" s="40"/>
      <c r="BV23" s="39"/>
      <c r="BW23" s="39"/>
      <c r="BX23" s="40"/>
      <c r="BY23" s="39"/>
      <c r="BZ23" s="39"/>
      <c r="CA23" s="40"/>
      <c r="CB23" s="39"/>
      <c r="CC23" s="39"/>
      <c r="CD23" s="39"/>
    </row>
    <row r="24" spans="1:83" x14ac:dyDescent="0.2">
      <c r="A24" s="35">
        <v>300</v>
      </c>
      <c r="B24" s="35">
        <v>300</v>
      </c>
      <c r="C24" s="35">
        <v>300</v>
      </c>
      <c r="D24" s="35" t="s">
        <v>85</v>
      </c>
      <c r="E24" s="36" t="s">
        <v>81</v>
      </c>
      <c r="F24" s="36"/>
      <c r="G24" s="36"/>
      <c r="H24" s="36"/>
      <c r="I24" s="37">
        <f>SUBTOTAL(109,I$4:I$19)</f>
        <v>69</v>
      </c>
      <c r="J24" s="137"/>
      <c r="K24" s="138"/>
      <c r="L24" s="39"/>
      <c r="M24" s="40"/>
      <c r="N24" s="39"/>
      <c r="O24" s="39"/>
      <c r="P24" s="40"/>
      <c r="Q24" s="39"/>
      <c r="R24" s="39"/>
      <c r="S24" s="40"/>
      <c r="T24" s="39"/>
      <c r="U24" s="39"/>
      <c r="V24" s="40"/>
      <c r="W24" s="39"/>
      <c r="X24" s="39"/>
      <c r="Y24" s="40"/>
      <c r="Z24" s="39"/>
      <c r="AA24" s="39"/>
      <c r="AB24" s="40"/>
      <c r="AC24" s="39"/>
      <c r="AD24" s="39"/>
      <c r="AE24" s="40"/>
      <c r="AF24" s="39"/>
      <c r="AG24" s="39"/>
      <c r="AH24" s="40"/>
      <c r="AI24" s="39"/>
      <c r="AJ24" s="39"/>
      <c r="AK24" s="40"/>
      <c r="AL24" s="39"/>
      <c r="AM24" s="39"/>
      <c r="AN24" s="40"/>
      <c r="AO24" s="39"/>
      <c r="AP24" s="39"/>
      <c r="AQ24" s="40"/>
      <c r="AR24" s="39"/>
      <c r="AS24" s="39"/>
      <c r="AT24" s="40"/>
      <c r="AU24" s="39"/>
      <c r="AV24" s="39"/>
      <c r="AW24" s="40"/>
      <c r="AX24" s="39"/>
      <c r="AY24" s="39"/>
      <c r="AZ24" s="40"/>
      <c r="BA24" s="39"/>
      <c r="BB24" s="39"/>
      <c r="BC24" s="40"/>
      <c r="BD24" s="39"/>
      <c r="BE24" s="39"/>
      <c r="BF24" s="40"/>
      <c r="BG24" s="39"/>
      <c r="BH24" s="39"/>
      <c r="BI24" s="40"/>
      <c r="BJ24" s="39"/>
      <c r="BK24" s="39"/>
      <c r="BL24" s="40"/>
      <c r="BM24" s="39"/>
      <c r="BN24" s="39"/>
      <c r="BO24" s="40"/>
      <c r="BP24" s="39"/>
      <c r="BQ24" s="39"/>
      <c r="BR24" s="40"/>
      <c r="BS24" s="39"/>
      <c r="BT24" s="39"/>
      <c r="BU24" s="40"/>
      <c r="BV24" s="39"/>
      <c r="BW24" s="39"/>
      <c r="BX24" s="40"/>
      <c r="BY24" s="39"/>
      <c r="BZ24" s="39"/>
      <c r="CA24" s="40"/>
      <c r="CB24" s="39"/>
      <c r="CC24" s="39"/>
      <c r="CD24" s="39"/>
    </row>
    <row r="25" spans="1:83" x14ac:dyDescent="0.2">
      <c r="A25" s="39"/>
      <c r="B25" s="39"/>
      <c r="C25" s="39"/>
      <c r="D25" s="39"/>
      <c r="E25" s="39"/>
      <c r="F25" s="39"/>
      <c r="G25" s="39"/>
      <c r="H25" s="39"/>
      <c r="I25" s="39"/>
    </row>
    <row r="26" spans="1:83" x14ac:dyDescent="0.2">
      <c r="A26" s="39"/>
      <c r="B26" s="39"/>
      <c r="C26" s="39"/>
      <c r="D26" s="39"/>
      <c r="E26" s="39"/>
      <c r="F26" s="39"/>
      <c r="G26" s="39"/>
      <c r="H26" s="39"/>
      <c r="I26" s="39"/>
    </row>
    <row r="27" spans="1:83" x14ac:dyDescent="0.2">
      <c r="A27" s="39"/>
      <c r="B27" s="39"/>
      <c r="C27" s="39"/>
      <c r="D27" s="39"/>
      <c r="E27" s="39"/>
      <c r="F27" s="39"/>
      <c r="G27" s="39"/>
    </row>
    <row r="28" spans="1:83" x14ac:dyDescent="0.2">
      <c r="A28" s="39"/>
      <c r="B28" s="39"/>
      <c r="C28" s="39"/>
      <c r="D28" s="39"/>
      <c r="E28" s="39"/>
      <c r="F28" s="39"/>
      <c r="G28" s="39"/>
    </row>
  </sheetData>
  <autoFilter ref="C3:CE23"/>
  <mergeCells count="24">
    <mergeCell ref="AB1:AD1"/>
    <mergeCell ref="Y1:AA1"/>
    <mergeCell ref="AE1:AG1"/>
    <mergeCell ref="V1:X1"/>
    <mergeCell ref="J1:L1"/>
    <mergeCell ref="M1:O1"/>
    <mergeCell ref="P1:R1"/>
    <mergeCell ref="S1:U1"/>
    <mergeCell ref="AZ1:BB1"/>
    <mergeCell ref="BC1:BE1"/>
    <mergeCell ref="BF1:BH1"/>
    <mergeCell ref="BI1:BK1"/>
    <mergeCell ref="AT1:AV1"/>
    <mergeCell ref="BX1:BZ1"/>
    <mergeCell ref="CA1:CC1"/>
    <mergeCell ref="BR1:BT1"/>
    <mergeCell ref="BU1:BW1"/>
    <mergeCell ref="BL1:BN1"/>
    <mergeCell ref="BO1:BQ1"/>
    <mergeCell ref="AW1:AY1"/>
    <mergeCell ref="AQ1:AS1"/>
    <mergeCell ref="AN1:AP1"/>
    <mergeCell ref="AK1:AM1"/>
    <mergeCell ref="AH1:AJ1"/>
  </mergeCells>
  <phoneticPr fontId="2" type="noConversion"/>
  <conditionalFormatting sqref="I24">
    <cfRule type="cellIs" dxfId="76" priority="86" stopIfTrue="1" operator="lessThan">
      <formula>C24*0.75</formula>
    </cfRule>
    <cfRule type="cellIs" dxfId="75" priority="86" stopIfTrue="1" operator="between">
      <formula>C24*0.75</formula>
      <formula>#REF!</formula>
    </cfRule>
    <cfRule type="cellIs" dxfId="74" priority="86" stopIfTrue="1" operator="greaterThan">
      <formula>C24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73" priority="78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72" priority="79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71" priority="80" stopIfTrue="1">
      <formula>J$1=TODAY()+DailyScrumDateModifier</formula>
    </cfRule>
  </conditionalFormatting>
  <conditionalFormatting sqref="S4:S17 AW4:AW17 AT4:AT17 AQ4:AQ17 AN4:AN17 AK4:AK17 AH4:AH17 AE4:AE17 AB4:AB17 Y4:Y17 V4:V17 CA4:CA17 BX4:BX17 BU4:BU17 BR4:BR17 BO4:BO17 BL4:BL17 BI4:BI17 BF4:BF17 BC4:BC17 AZ4:AZ17 M4:M17 J4:J17 P4:P17">
    <cfRule type="expression" dxfId="70" priority="89" stopIfTrue="1">
      <formula>J$1=TODAY()+DailyScrumDateModifier</formula>
    </cfRule>
    <cfRule type="expression" dxfId="69" priority="89" stopIfTrue="1">
      <formula>MOD(ROW(),2)</formula>
    </cfRule>
  </conditionalFormatting>
  <conditionalFormatting sqref="N4:N17 AX4:AX17 AU4:AU17 AR4:AR17 AL4:AL17 AF4:AF17 AC4:AC17 Z4:Z17 W4:W17 Q4:Q17 CB4:CB17 BY4:BY17 BV4:BV17 BS4:BS17 BP4:BP17 BM4:BM17 BJ4:BJ17 BG4:BG17 BD4:BD17 BA4:BA17 K4:K17 T4:T17 AI4:AI17 AO4:AO17">
    <cfRule type="expression" dxfId="68" priority="91" stopIfTrue="1">
      <formula>J$1=TODAY()+DailyScrumDateModifier</formula>
    </cfRule>
    <cfRule type="expression" dxfId="67" priority="91" stopIfTrue="1">
      <formula>MOD(ROW(),2)</formula>
    </cfRule>
  </conditionalFormatting>
  <conditionalFormatting sqref="H18:I18 A18:E18 CE4:CE18">
    <cfRule type="expression" dxfId="66" priority="93" stopIfTrue="1">
      <formula>MOD(ROW(),2)</formula>
    </cfRule>
  </conditionalFormatting>
  <conditionalFormatting sqref="CC4:CC17 BZ4:BZ17 BW4:BW17 BT4:BT17 BQ4:BQ17 BN4:BN17 BK4:BK17 BH4:BH17 BE4:BE17 BB4:BB17 X4:X17 U4:U17 R4:R17 O4:O17 AY4:AY17 AV4:AV17 AS4:AS17 AP4:AP17 AM4:AM17 AJ4:AJ17 AG4:AG17 AD4:AD17 AA4:AA17 L4:L17">
    <cfRule type="cellIs" dxfId="65" priority="94" stopIfTrue="1" operator="equal">
      <formula>"Pending"</formula>
    </cfRule>
    <cfRule type="cellIs" dxfId="64" priority="94" stopIfTrue="1" operator="equal">
      <formula>"In Progress"</formula>
    </cfRule>
    <cfRule type="cellIs" dxfId="63" priority="94" stopIfTrue="1" operator="equal">
      <formula>"Complete"</formula>
    </cfRule>
  </conditionalFormatting>
  <conditionalFormatting sqref="J1:CC1">
    <cfRule type="expression" dxfId="62" priority="81" stopIfTrue="1">
      <formula>J$1=TODAY()+DailyScrumDateModifier</formula>
    </cfRule>
    <cfRule type="expression" dxfId="61" priority="81" stopIfTrue="1">
      <formula>J$1=TODAY()</formula>
    </cfRule>
  </conditionalFormatting>
  <conditionalFormatting sqref="J23:K24 M23:N24">
    <cfRule type="expression" dxfId="60" priority="83" stopIfTrue="1">
      <formula>"I1=TODAY()"</formula>
    </cfRule>
  </conditionalFormatting>
  <conditionalFormatting sqref="G20">
    <cfRule type="cellIs" dxfId="59" priority="84" stopIfTrue="1" operator="equal">
      <formula>"Complete"</formula>
    </cfRule>
    <cfRule type="cellIs" dxfId="58" priority="84" stopIfTrue="1" operator="equal">
      <formula>"In Progress"</formula>
    </cfRule>
  </conditionalFormatting>
  <conditionalFormatting sqref="G18">
    <cfRule type="cellIs" dxfId="57" priority="97" stopIfTrue="1" operator="equal">
      <formula>"Complete"</formula>
    </cfRule>
    <cfRule type="cellIs" dxfId="56" priority="97" stopIfTrue="1" operator="equal">
      <formula>"In Progress"</formula>
    </cfRule>
    <cfRule type="cellIs" dxfId="55" priority="97" stopIfTrue="1" operator="equal">
      <formula>"Pending"</formula>
    </cfRule>
  </conditionalFormatting>
  <conditionalFormatting sqref="H16 A16:B17">
    <cfRule type="expression" dxfId="54" priority="49" stopIfTrue="1">
      <formula>MOD(ROW(),2)</formula>
    </cfRule>
  </conditionalFormatting>
  <conditionalFormatting sqref="H6:I6 A6:B6 D6">
    <cfRule type="expression" dxfId="53" priority="45" stopIfTrue="1">
      <formula>MOD(ROW(),2)</formula>
    </cfRule>
  </conditionalFormatting>
  <conditionalFormatting sqref="H11:H15 H4:I4 A4:D4 I7:I17 H7:H9 D7:D17 A7:C7 A8:B15">
    <cfRule type="expression" dxfId="52" priority="62" stopIfTrue="1">
      <formula>MOD(ROW(),2)</formula>
    </cfRule>
  </conditionalFormatting>
  <conditionalFormatting sqref="G17">
    <cfRule type="cellIs" dxfId="51" priority="63" stopIfTrue="1" operator="equal">
      <formula>"Complete"</formula>
    </cfRule>
  </conditionalFormatting>
  <conditionalFormatting sqref="H10">
    <cfRule type="expression" dxfId="50" priority="59" stopIfTrue="1">
      <formula>MOD(ROW(),2)</formula>
    </cfRule>
  </conditionalFormatting>
  <conditionalFormatting sqref="H17">
    <cfRule type="expression" dxfId="49" priority="51" stopIfTrue="1">
      <formula>MOD(ROW(),2)</formula>
    </cfRule>
  </conditionalFormatting>
  <conditionalFormatting sqref="H5:I5 A5:D5">
    <cfRule type="expression" dxfId="48" priority="39" stopIfTrue="1">
      <formula>MOD(ROW(),2)</formula>
    </cfRule>
  </conditionalFormatting>
  <conditionalFormatting sqref="G4:G16">
    <cfRule type="cellIs" dxfId="47" priority="34" stopIfTrue="1" operator="equal">
      <formula>"Complete"</formula>
    </cfRule>
  </conditionalFormatting>
  <conditionalFormatting sqref="G17">
    <cfRule type="cellIs" dxfId="46" priority="29" stopIfTrue="1" operator="equal">
      <formula>"In Progress"</formula>
    </cfRule>
    <cfRule type="cellIs" dxfId="45" priority="29" stopIfTrue="1" operator="equal">
      <formula>"Complete"</formula>
    </cfRule>
    <cfRule type="cellIs" dxfId="44" priority="98" stopIfTrue="1" operator="equal">
      <formula>"Pending"</formula>
    </cfRule>
  </conditionalFormatting>
  <conditionalFormatting sqref="E15">
    <cfRule type="expression" dxfId="43" priority="15" stopIfTrue="1">
      <formula>MOD(ROW(),2)</formula>
    </cfRule>
  </conditionalFormatting>
  <conditionalFormatting sqref="E4:E8 E10:E14">
    <cfRule type="expression" dxfId="42" priority="19" stopIfTrue="1">
      <formula>MOD(ROW(),2)</formula>
    </cfRule>
  </conditionalFormatting>
  <conditionalFormatting sqref="E9">
    <cfRule type="expression" dxfId="41" priority="18" stopIfTrue="1">
      <formula>MOD(ROW(),2)</formula>
    </cfRule>
  </conditionalFormatting>
  <conditionalFormatting sqref="E17">
    <cfRule type="expression" dxfId="40" priority="17" stopIfTrue="1">
      <formula>MOD(ROW(),2)</formula>
    </cfRule>
  </conditionalFormatting>
  <conditionalFormatting sqref="E16">
    <cfRule type="expression" dxfId="39" priority="16" stopIfTrue="1">
      <formula>MOD(ROW(),2)</formula>
    </cfRule>
  </conditionalFormatting>
  <conditionalFormatting sqref="C9">
    <cfRule type="expression" dxfId="38" priority="14" stopIfTrue="1">
      <formula>MOD(ROW(),2)</formula>
    </cfRule>
  </conditionalFormatting>
  <conditionalFormatting sqref="C12">
    <cfRule type="expression" dxfId="35" priority="11" stopIfTrue="1">
      <formula>MOD(ROW(),2)</formula>
    </cfRule>
  </conditionalFormatting>
  <conditionalFormatting sqref="C13">
    <cfRule type="expression" dxfId="34" priority="10" stopIfTrue="1">
      <formula>MOD(ROW(),2)</formula>
    </cfRule>
  </conditionalFormatting>
  <conditionalFormatting sqref="C16">
    <cfRule type="expression" dxfId="33" priority="9" stopIfTrue="1">
      <formula>MOD(ROW(),2)</formula>
    </cfRule>
  </conditionalFormatting>
  <conditionalFormatting sqref="C17">
    <cfRule type="expression" dxfId="32" priority="8" stopIfTrue="1">
      <formula>MOD(ROW(),2)</formula>
    </cfRule>
  </conditionalFormatting>
  <conditionalFormatting sqref="C6">
    <cfRule type="expression" dxfId="31" priority="7" stopIfTrue="1">
      <formula>MOD(ROW(),2)</formula>
    </cfRule>
  </conditionalFormatting>
  <conditionalFormatting sqref="C8">
    <cfRule type="expression" dxfId="30" priority="5" stopIfTrue="1">
      <formula>MOD(ROW(),2)</formula>
    </cfRule>
  </conditionalFormatting>
  <conditionalFormatting sqref="C14">
    <cfRule type="expression" dxfId="29" priority="4" stopIfTrue="1">
      <formula>MOD(ROW(),2)</formula>
    </cfRule>
  </conditionalFormatting>
  <conditionalFormatting sqref="C15">
    <cfRule type="expression" dxfId="28" priority="3" stopIfTrue="1">
      <formula>MOD(ROW(),2)</formula>
    </cfRule>
  </conditionalFormatting>
  <conditionalFormatting sqref="C10">
    <cfRule type="expression" dxfId="3" priority="2" stopIfTrue="1">
      <formula>MOD(ROW(),2)</formula>
    </cfRule>
  </conditionalFormatting>
  <conditionalFormatting sqref="C11">
    <cfRule type="expression" dxfId="1" priority="1" stopIfTrue="1">
      <formula>MOD(ROW(),2)</formula>
    </cfRule>
  </conditionalFormatting>
  <dataValidations count="3">
    <dataValidation type="list" allowBlank="1" showInputMessage="1" showErrorMessage="1" sqref="F4:F18">
      <formula1>Members</formula1>
    </dataValidation>
    <dataValidation type="list" allowBlank="1" showInputMessage="1" showErrorMessage="1" sqref="A4:A18">
      <formula1>Worktype</formula1>
    </dataValidation>
    <dataValidation type="list" allowBlank="1" showInputMessage="1" showErrorMessage="1" sqref="B4:B1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51"/>
  <sheetViews>
    <sheetView topLeftCell="A13" workbookViewId="0">
      <selection activeCell="L31" sqref="L31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19" width="9.28515625" style="6" bestFit="1" customWidth="1"/>
    <col min="20" max="20" width="9.7109375" style="6" customWidth="1"/>
    <col min="21" max="25" width="9.28515625" style="6" bestFit="1" customWidth="1"/>
    <col min="26" max="16384" width="9.140625" style="6"/>
  </cols>
  <sheetData>
    <row r="1" spans="1:1" x14ac:dyDescent="0.2">
      <c r="A1" s="129"/>
    </row>
    <row r="19" spans="1:9" x14ac:dyDescent="0.2">
      <c r="A19" s="140" t="str">
        <f>IF(SkipWeekends, "Working Day", "Calendar Day")</f>
        <v>Working Day</v>
      </c>
      <c r="B19" s="141"/>
      <c r="C19" s="142"/>
      <c r="D19" s="143"/>
      <c r="E19" s="142">
        <v>1</v>
      </c>
      <c r="F19" s="142">
        <v>2</v>
      </c>
      <c r="G19" s="142">
        <v>3</v>
      </c>
      <c r="H19" s="142">
        <v>4</v>
      </c>
      <c r="I19" s="142">
        <v>5</v>
      </c>
    </row>
    <row r="20" spans="1:9" x14ac:dyDescent="0.2">
      <c r="A20" s="140" t="s">
        <v>20</v>
      </c>
      <c r="B20" s="141"/>
      <c r="C20" s="142"/>
      <c r="D20" s="143"/>
      <c r="E20" s="144">
        <f t="shared" ref="E20:I20" si="0">INDEX(SprintDates,1,(E19-1)*BurndownColumns+1)</f>
        <v>42723</v>
      </c>
      <c r="F20" s="144">
        <f t="shared" si="0"/>
        <v>42724</v>
      </c>
      <c r="G20" s="144">
        <f t="shared" si="0"/>
        <v>42725</v>
      </c>
      <c r="H20" s="144">
        <f t="shared" si="0"/>
        <v>42726</v>
      </c>
      <c r="I20" s="144">
        <f t="shared" si="0"/>
        <v>42727</v>
      </c>
    </row>
    <row r="21" spans="1:9" x14ac:dyDescent="0.2">
      <c r="A21" s="140"/>
      <c r="B21" s="141"/>
      <c r="C21" s="142"/>
      <c r="D21" s="143"/>
      <c r="E21" s="144"/>
      <c r="F21" s="144"/>
      <c r="G21" s="144"/>
      <c r="H21" s="144"/>
      <c r="I21" s="144"/>
    </row>
    <row r="22" spans="1:9" x14ac:dyDescent="0.2">
      <c r="A22" s="140" t="s">
        <v>8</v>
      </c>
      <c r="B22" s="142"/>
      <c r="C22" s="145"/>
      <c r="D22" s="146"/>
      <c r="E22" s="142">
        <f t="shared" ref="E22:I22" ca="1" si="1">IF(E20&gt;TODAY(), #N/A, SUM(INDEX(Burndown,,(E19-1)*BurndownColumns+HoursLeftColumn)))</f>
        <v>56</v>
      </c>
      <c r="F22" s="142">
        <f t="shared" ca="1" si="1"/>
        <v>41</v>
      </c>
      <c r="G22" s="142">
        <f t="shared" ca="1" si="1"/>
        <v>26</v>
      </c>
      <c r="H22" s="142">
        <f t="shared" ca="1" si="1"/>
        <v>13</v>
      </c>
      <c r="I22" s="142">
        <f t="shared" ca="1" si="1"/>
        <v>0</v>
      </c>
    </row>
    <row r="23" spans="1:9" x14ac:dyDescent="0.2">
      <c r="A23" s="147" t="s">
        <v>19</v>
      </c>
      <c r="B23" s="145"/>
      <c r="C23" s="145"/>
      <c r="D23" s="146"/>
      <c r="E23" s="143">
        <f t="shared" ref="E23:I23" ca="1" si="2">IF(E20&gt;TODAY(), #N/A, SUM(INDEX(Burndown,,(E19-1)*BurndownColumns+HoursSpentColumn)))</f>
        <v>13</v>
      </c>
      <c r="F23" s="143">
        <f t="shared" ca="1" si="2"/>
        <v>15</v>
      </c>
      <c r="G23" s="143">
        <f t="shared" ca="1" si="2"/>
        <v>15</v>
      </c>
      <c r="H23" s="143">
        <f t="shared" ca="1" si="2"/>
        <v>13</v>
      </c>
      <c r="I23" s="143">
        <f t="shared" ca="1" si="2"/>
        <v>14</v>
      </c>
    </row>
    <row r="24" spans="1:9" x14ac:dyDescent="0.2">
      <c r="A24" s="147" t="s">
        <v>3</v>
      </c>
      <c r="B24" s="145"/>
      <c r="C24" s="145"/>
      <c r="D24" s="146"/>
      <c r="E24" s="143">
        <f ca="1">IF(E20&gt;TODAY(), #N/A, SUM($E23:E23))</f>
        <v>13</v>
      </c>
      <c r="F24" s="143">
        <f ca="1">IF(F20&gt;TODAY(), #N/A, SUM($E23:F23))</f>
        <v>28</v>
      </c>
      <c r="G24" s="143">
        <f ca="1">IF(G20&gt;TODAY(), #N/A, SUM($E23:G23))</f>
        <v>43</v>
      </c>
      <c r="H24" s="143">
        <f ca="1">IF(H20&gt;TODAY(), #N/A, SUM($E23:H23))</f>
        <v>56</v>
      </c>
      <c r="I24" s="143">
        <f ca="1">IF(I20&gt;TODAY(), #N/A, SUM($E23:I23))</f>
        <v>70</v>
      </c>
    </row>
    <row r="25" spans="1:9" x14ac:dyDescent="0.2">
      <c r="A25" s="147" t="s">
        <v>21</v>
      </c>
      <c r="B25" s="145"/>
      <c r="C25" s="145"/>
      <c r="D25" s="146"/>
      <c r="E25" s="143">
        <f t="shared" ref="E25:I25" ca="1" si="3">IF(E20&gt;TODAY(), #N/A, E22+E24)</f>
        <v>69</v>
      </c>
      <c r="F25" s="143">
        <f t="shared" ca="1" si="3"/>
        <v>69</v>
      </c>
      <c r="G25" s="143">
        <f t="shared" ca="1" si="3"/>
        <v>69</v>
      </c>
      <c r="H25" s="143">
        <f t="shared" ca="1" si="3"/>
        <v>69</v>
      </c>
      <c r="I25" s="143">
        <f t="shared" ca="1" si="3"/>
        <v>70</v>
      </c>
    </row>
    <row r="26" spans="1:9" x14ac:dyDescent="0.2">
      <c r="A26" s="147"/>
      <c r="B26" s="145"/>
      <c r="C26" s="145"/>
      <c r="D26" s="146"/>
      <c r="E26" s="145"/>
      <c r="F26" s="145"/>
      <c r="G26" s="145"/>
      <c r="H26" s="145"/>
      <c r="I26" s="145"/>
    </row>
    <row r="27" spans="1:9" x14ac:dyDescent="0.2">
      <c r="A27" s="140" t="s">
        <v>4</v>
      </c>
      <c r="B27" s="145"/>
      <c r="C27" s="142"/>
      <c r="D27" s="146"/>
      <c r="E27" s="148">
        <f t="shared" ref="E27:I27" ca="1" si="4">IF(E20&gt;TODAY(), #N/A, E24/E19)</f>
        <v>13</v>
      </c>
      <c r="F27" s="148">
        <f t="shared" ca="1" si="4"/>
        <v>14</v>
      </c>
      <c r="G27" s="148">
        <f t="shared" ca="1" si="4"/>
        <v>14.333333333333334</v>
      </c>
      <c r="H27" s="148">
        <f t="shared" ca="1" si="4"/>
        <v>14</v>
      </c>
      <c r="I27" s="148">
        <f t="shared" ca="1" si="4"/>
        <v>14</v>
      </c>
    </row>
    <row r="28" spans="1:9" x14ac:dyDescent="0.2">
      <c r="A28" s="147" t="s">
        <v>5</v>
      </c>
      <c r="B28" s="145"/>
      <c r="C28" s="145"/>
      <c r="D28" s="146"/>
      <c r="E28" s="149">
        <f t="shared" ref="E28:I28" ca="1" si="5">IF(E20&gt;TODAY(), #N/A, IF(E27=0, SprintStart, E20 + (E22/E27)))</f>
        <v>42727.307692307695</v>
      </c>
      <c r="F28" s="149">
        <f t="shared" ca="1" si="5"/>
        <v>42726.928571428572</v>
      </c>
      <c r="G28" s="149">
        <f t="shared" ca="1" si="5"/>
        <v>42726.813953488374</v>
      </c>
      <c r="H28" s="149">
        <f t="shared" ca="1" si="5"/>
        <v>42726.928571428572</v>
      </c>
      <c r="I28" s="149">
        <f t="shared" ca="1" si="5"/>
        <v>42727</v>
      </c>
    </row>
    <row r="29" spans="1:9" x14ac:dyDescent="0.2">
      <c r="A29" s="147" t="s">
        <v>30</v>
      </c>
      <c r="B29" s="145"/>
      <c r="C29" s="145"/>
      <c r="D29" s="146"/>
      <c r="E29" s="149">
        <f t="shared" ref="E29:I29" ca="1" si="6">IF(E$20&gt;TODAY(), #N/A, IF(E$33&gt;0, SprintStart+((E$25*E$19)/E$33)-1, SprintStart))</f>
        <v>42723</v>
      </c>
      <c r="F29" s="149">
        <f t="shared" ca="1" si="6"/>
        <v>42723</v>
      </c>
      <c r="G29" s="149">
        <f t="shared" ca="1" si="6"/>
        <v>42727.914285714287</v>
      </c>
      <c r="H29" s="149">
        <f t="shared" ca="1" si="6"/>
        <v>42729.885714285716</v>
      </c>
      <c r="I29" s="149">
        <f t="shared" ca="1" si="6"/>
        <v>42727</v>
      </c>
    </row>
    <row r="30" spans="1:9" x14ac:dyDescent="0.2">
      <c r="A30" s="147"/>
      <c r="B30" s="145"/>
      <c r="C30" s="145"/>
      <c r="D30" s="146"/>
      <c r="E30" s="145"/>
      <c r="F30" s="145"/>
      <c r="G30" s="145"/>
      <c r="H30" s="145"/>
      <c r="I30" s="145"/>
    </row>
    <row r="31" spans="1:9" x14ac:dyDescent="0.2">
      <c r="A31" s="147" t="s">
        <v>26</v>
      </c>
      <c r="B31" s="145"/>
      <c r="C31" s="145"/>
      <c r="D31" s="146"/>
      <c r="E31" s="145">
        <f t="shared" ref="E31:I31" ca="1" si="7">IF(E$20&gt;TODAY(), #N/A, SUMIF(INDEX(Burndown,,(E$19-1)*BurndownColumns+StatusColumn), "=Pending",INDEX(Burndown,,(E$19-1)*BurndownColumns+HoursLeftColumn)))</f>
        <v>34</v>
      </c>
      <c r="F31" s="145">
        <f t="shared" ca="1" si="7"/>
        <v>34</v>
      </c>
      <c r="G31" s="145">
        <f t="shared" ca="1" si="7"/>
        <v>4</v>
      </c>
      <c r="H31" s="145">
        <f t="shared" ca="1" si="7"/>
        <v>0</v>
      </c>
      <c r="I31" s="145">
        <f t="shared" ca="1" si="7"/>
        <v>0</v>
      </c>
    </row>
    <row r="32" spans="1:9" x14ac:dyDescent="0.2">
      <c r="A32" s="147" t="s">
        <v>27</v>
      </c>
      <c r="B32" s="145"/>
      <c r="C32" s="145"/>
      <c r="D32" s="146"/>
      <c r="E32" s="150">
        <f t="shared" ref="E32:I32" ca="1" si="8">E$22-E$31+E$24-E$33</f>
        <v>35</v>
      </c>
      <c r="F32" s="150">
        <f t="shared" ca="1" si="8"/>
        <v>35</v>
      </c>
      <c r="G32" s="150">
        <f t="shared" ca="1" si="8"/>
        <v>30</v>
      </c>
      <c r="H32" s="150">
        <f t="shared" ca="1" si="8"/>
        <v>34</v>
      </c>
      <c r="I32" s="150">
        <f t="shared" ca="1" si="8"/>
        <v>0</v>
      </c>
    </row>
    <row r="33" spans="1:25" x14ac:dyDescent="0.2">
      <c r="A33" s="147" t="s">
        <v>28</v>
      </c>
      <c r="B33" s="145"/>
      <c r="C33" s="145"/>
      <c r="D33" s="146"/>
      <c r="E33" s="145">
        <f t="shared" ref="E33:I33" ca="1" si="9">IF(E$20&gt;TODAY(), #N/A, SUMIF(INDEX(Burndown,,(E$19-1)*BurndownColumns+StatusColumn), "=Complete",TotalEffort))</f>
        <v>0</v>
      </c>
      <c r="F33" s="145">
        <f t="shared" ca="1" si="9"/>
        <v>0</v>
      </c>
      <c r="G33" s="145">
        <f t="shared" ca="1" si="9"/>
        <v>35</v>
      </c>
      <c r="H33" s="145">
        <f t="shared" ca="1" si="9"/>
        <v>35</v>
      </c>
      <c r="I33" s="145">
        <f t="shared" ca="1" si="9"/>
        <v>70</v>
      </c>
    </row>
    <row r="34" spans="1:25" x14ac:dyDescent="0.2">
      <c r="A34" s="147"/>
      <c r="B34" s="145"/>
      <c r="C34" s="145"/>
      <c r="D34" s="146"/>
      <c r="E34" s="145"/>
      <c r="F34" s="145"/>
      <c r="G34" s="145"/>
      <c r="H34" s="145"/>
      <c r="I34" s="145"/>
    </row>
    <row r="35" spans="1:25" x14ac:dyDescent="0.2">
      <c r="A35" s="147" t="s">
        <v>9</v>
      </c>
      <c r="B35" s="145"/>
      <c r="C35" s="145"/>
      <c r="D35" s="146"/>
      <c r="E35" s="145">
        <f t="shared" ref="E35:I35" ca="1" si="10">IF(E20&gt;TODAY(), #N/A, COUNTIF(INDEX(Burndown,,(E19-1)*BurndownColumns+StatusColumn), "=Pending"))</f>
        <v>7</v>
      </c>
      <c r="F35" s="145">
        <f t="shared" ca="1" si="10"/>
        <v>7</v>
      </c>
      <c r="G35" s="145">
        <f t="shared" ca="1" si="10"/>
        <v>1</v>
      </c>
      <c r="H35" s="145">
        <f t="shared" ca="1" si="10"/>
        <v>0</v>
      </c>
      <c r="I35" s="145">
        <f t="shared" ca="1" si="10"/>
        <v>0</v>
      </c>
    </row>
    <row r="36" spans="1:25" x14ac:dyDescent="0.2">
      <c r="A36" s="147" t="s">
        <v>6</v>
      </c>
      <c r="B36" s="145"/>
      <c r="C36" s="145"/>
      <c r="D36" s="146"/>
      <c r="E36" s="145">
        <f t="shared" ref="E36:I36" ca="1" si="11">IF(E20&gt;TODAY(), #N/A, COUNTIF(INDEX(Burndown,,(E19-1)*BurndownColumns+StatusColumn), "=In Progress"))</f>
        <v>7</v>
      </c>
      <c r="F36" s="145">
        <f t="shared" ca="1" si="11"/>
        <v>7</v>
      </c>
      <c r="G36" s="145">
        <f t="shared" ca="1" si="11"/>
        <v>6</v>
      </c>
      <c r="H36" s="145">
        <f t="shared" ca="1" si="11"/>
        <v>7</v>
      </c>
      <c r="I36" s="145">
        <f t="shared" ca="1" si="11"/>
        <v>0</v>
      </c>
    </row>
    <row r="37" spans="1:25" x14ac:dyDescent="0.2">
      <c r="A37" s="147" t="s">
        <v>7</v>
      </c>
      <c r="B37" s="145"/>
      <c r="C37" s="145"/>
      <c r="D37" s="146"/>
      <c r="E37" s="145">
        <f t="shared" ref="E37:I37" ca="1" si="12">IF(E20&gt;TODAY(), #N/A, COUNTIF(INDEX(Burndown,,(E19-1)*BurndownColumns+StatusColumn), "=Complete"))</f>
        <v>0</v>
      </c>
      <c r="F37" s="145">
        <f t="shared" ca="1" si="12"/>
        <v>0</v>
      </c>
      <c r="G37" s="145">
        <f t="shared" ca="1" si="12"/>
        <v>7</v>
      </c>
      <c r="H37" s="145">
        <f t="shared" ca="1" si="12"/>
        <v>7</v>
      </c>
      <c r="I37" s="145">
        <f t="shared" ca="1" si="12"/>
        <v>14</v>
      </c>
    </row>
    <row r="38" spans="1:25" x14ac:dyDescent="0.2">
      <c r="A38" s="130"/>
      <c r="B38" s="130"/>
      <c r="C38" s="130"/>
      <c r="D38" s="130"/>
      <c r="E38" s="130"/>
      <c r="F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</row>
    <row r="39" spans="1:25" x14ac:dyDescent="0.2">
      <c r="A39" s="147" t="s">
        <v>24</v>
      </c>
      <c r="B39" s="145"/>
      <c r="C39" s="145"/>
      <c r="D39" s="145"/>
      <c r="E39" s="142"/>
      <c r="F39" s="145"/>
      <c r="G39" s="147" t="s">
        <v>23</v>
      </c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</row>
    <row r="40" spans="1:25" ht="13.5" customHeight="1" x14ac:dyDescent="0.2">
      <c r="A40" s="147"/>
      <c r="B40" s="145" t="s">
        <v>25</v>
      </c>
      <c r="C40" s="145"/>
      <c r="D40" s="145"/>
      <c r="E40" s="145">
        <v>1</v>
      </c>
      <c r="F40" s="145"/>
      <c r="G40" s="145" t="s">
        <v>82</v>
      </c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W40" s="130"/>
      <c r="X40" s="130"/>
      <c r="Y40" s="130"/>
    </row>
    <row r="41" spans="1:25" ht="13.5" customHeight="1" x14ac:dyDescent="0.2">
      <c r="A41" s="147"/>
      <c r="B41" s="145" t="s">
        <v>83</v>
      </c>
      <c r="C41" s="145"/>
      <c r="D41" s="145"/>
      <c r="E41" s="145">
        <v>0</v>
      </c>
      <c r="F41" s="145"/>
      <c r="G41" s="145" t="s">
        <v>84</v>
      </c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30"/>
      <c r="U41" s="130"/>
      <c r="V41" s="130"/>
      <c r="W41" s="130"/>
      <c r="X41" s="130"/>
      <c r="Y41" s="130"/>
    </row>
    <row r="42" spans="1:25" x14ac:dyDescent="0.2">
      <c r="A42" s="147"/>
      <c r="B42" s="145"/>
      <c r="C42" s="145"/>
      <c r="D42" s="145"/>
      <c r="E42" s="142"/>
      <c r="F42" s="145"/>
      <c r="G42" s="151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130"/>
      <c r="U42" s="130"/>
      <c r="V42" s="130"/>
      <c r="W42" s="130"/>
      <c r="X42" s="130"/>
      <c r="Y42" s="130"/>
    </row>
    <row r="43" spans="1:25" x14ac:dyDescent="0.2">
      <c r="A43" s="147" t="s">
        <v>16</v>
      </c>
      <c r="B43" s="145"/>
      <c r="C43" s="145"/>
      <c r="D43" s="145"/>
      <c r="E43" s="142"/>
      <c r="F43" s="145"/>
      <c r="G43" s="145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  <c r="Y43" s="130"/>
    </row>
    <row r="44" spans="1:25" x14ac:dyDescent="0.2">
      <c r="A44" s="145"/>
      <c r="B44" s="145" t="s">
        <v>14</v>
      </c>
      <c r="C44" s="145"/>
      <c r="D44" s="145"/>
      <c r="E44" s="145">
        <v>3</v>
      </c>
      <c r="F44" s="145"/>
      <c r="G44" s="145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</row>
    <row r="45" spans="1:25" x14ac:dyDescent="0.2">
      <c r="A45" s="145"/>
      <c r="B45" s="145" t="s">
        <v>18</v>
      </c>
      <c r="C45" s="145"/>
      <c r="D45" s="145"/>
      <c r="E45" s="145">
        <v>1</v>
      </c>
      <c r="F45" s="145"/>
      <c r="G45" s="151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</row>
    <row r="46" spans="1:25" x14ac:dyDescent="0.2">
      <c r="A46" s="145"/>
      <c r="B46" s="145" t="s">
        <v>17</v>
      </c>
      <c r="C46" s="145"/>
      <c r="D46" s="145"/>
      <c r="E46" s="145">
        <v>2</v>
      </c>
      <c r="F46" s="151"/>
      <c r="G46" s="151"/>
    </row>
    <row r="47" spans="1:25" x14ac:dyDescent="0.2">
      <c r="A47" s="145"/>
      <c r="B47" s="145" t="s">
        <v>15</v>
      </c>
      <c r="C47" s="145"/>
      <c r="D47" s="145"/>
      <c r="E47" s="145">
        <v>3</v>
      </c>
      <c r="F47" s="151"/>
      <c r="G47" s="151"/>
    </row>
    <row r="48" spans="1:25" x14ac:dyDescent="0.2">
      <c r="A48" s="130"/>
      <c r="C48" s="130"/>
      <c r="D48" s="130"/>
    </row>
    <row r="49" spans="1:1" x14ac:dyDescent="0.2">
      <c r="A49" s="131"/>
    </row>
    <row r="50" spans="1:1" x14ac:dyDescent="0.2">
      <c r="A50" s="130"/>
    </row>
    <row r="51" spans="1:1" x14ac:dyDescent="0.2">
      <c r="A51" s="130"/>
    </row>
  </sheetData>
  <phoneticPr fontId="2" type="noConversion"/>
  <conditionalFormatting sqref="D19:I21">
    <cfRule type="expression" dxfId="27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34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F18" sqref="F18"/>
    </sheetView>
  </sheetViews>
  <sheetFormatPr defaultRowHeight="12.75" x14ac:dyDescent="0.2"/>
  <cols>
    <col min="1" max="1" width="2.28515625" style="41" customWidth="1"/>
    <col min="2" max="2" width="23.42578125" style="42" customWidth="1"/>
    <col min="3" max="4" width="6.5703125" style="42" bestFit="1" customWidth="1"/>
    <col min="5" max="5" width="24.5703125" style="41" customWidth="1"/>
    <col min="6" max="6" width="13.7109375" style="41" customWidth="1"/>
    <col min="7" max="7" width="12.7109375" style="41" bestFit="1" customWidth="1"/>
    <col min="8" max="8" width="1.85546875" style="41" customWidth="1"/>
    <col min="9" max="9" width="6.85546875" style="41" bestFit="1" customWidth="1"/>
    <col min="10" max="10" width="3.140625" style="41" customWidth="1"/>
    <col min="11" max="13" width="3.7109375" style="41" customWidth="1"/>
    <col min="14" max="14" width="4" style="41" customWidth="1"/>
    <col min="15" max="19" width="3" style="41" customWidth="1"/>
    <col min="20" max="29" width="9.140625" style="41"/>
    <col min="30" max="16384" width="9.140625" style="6"/>
  </cols>
  <sheetData>
    <row r="1" spans="2:19" ht="13.5" thickBot="1" x14ac:dyDescent="0.25"/>
    <row r="2" spans="2:19" x14ac:dyDescent="0.2">
      <c r="B2" s="43" t="s">
        <v>42</v>
      </c>
      <c r="C2" s="44"/>
      <c r="D2" s="45" t="str">
        <f ca="1">TEXT(E2,"ddd")</f>
        <v>ddd</v>
      </c>
      <c r="E2" s="46">
        <f ca="1">TODAY()</f>
        <v>42728</v>
      </c>
    </row>
    <row r="3" spans="2:19" ht="13.5" thickBot="1" x14ac:dyDescent="0.25">
      <c r="B3" s="47" t="s">
        <v>41</v>
      </c>
      <c r="C3" s="48"/>
      <c r="D3" s="49" t="str">
        <f>TEXT(E3,"ddd")</f>
        <v>ddd</v>
      </c>
      <c r="E3" s="50">
        <v>42723</v>
      </c>
    </row>
    <row r="4" spans="2:19" ht="13.5" thickBot="1" x14ac:dyDescent="0.25">
      <c r="D4" s="41"/>
      <c r="E4" s="51"/>
      <c r="I4" s="52"/>
      <c r="J4" s="52"/>
      <c r="K4" s="52"/>
      <c r="L4" s="52"/>
      <c r="M4" s="52"/>
    </row>
    <row r="5" spans="2:19" ht="15.75" thickBot="1" x14ac:dyDescent="0.25">
      <c r="B5" s="171" t="s">
        <v>45</v>
      </c>
      <c r="C5" s="172"/>
      <c r="D5" s="172"/>
      <c r="E5" s="172"/>
      <c r="F5" s="172"/>
      <c r="G5" s="173"/>
      <c r="I5" s="53"/>
      <c r="J5" s="54"/>
      <c r="K5" s="54"/>
      <c r="L5" s="54"/>
      <c r="M5" s="54"/>
      <c r="N5" s="56"/>
      <c r="O5" s="55"/>
      <c r="P5" s="55"/>
      <c r="Q5" s="55"/>
      <c r="R5" s="55"/>
      <c r="S5" s="57"/>
    </row>
    <row r="6" spans="2:19" ht="13.5" thickBot="1" x14ac:dyDescent="0.25">
      <c r="B6" s="58" t="s">
        <v>50</v>
      </c>
      <c r="C6" s="59">
        <v>2</v>
      </c>
      <c r="D6" s="60"/>
      <c r="E6" s="61" t="s">
        <v>51</v>
      </c>
      <c r="F6" s="62">
        <v>5</v>
      </c>
      <c r="G6" s="63"/>
      <c r="I6" s="64" t="str">
        <f>IF(D3="Mon",E3-0,IF(D3="Tue",E3-1,IF(D3="Wed",E3-2,IF(D3="Thu",E3-3,IF(D3="Fri",E3-4,IF(D3="Sat",E3-5,IF(D3="Sun",E3-6,"False")))))))</f>
        <v>False</v>
      </c>
      <c r="J6" s="65" t="e">
        <f t="shared" ref="J6:M6" si="0">I6+1</f>
        <v>#VALUE!</v>
      </c>
      <c r="K6" s="65" t="e">
        <f t="shared" si="0"/>
        <v>#VALUE!</v>
      </c>
      <c r="L6" s="65" t="e">
        <f t="shared" si="0"/>
        <v>#VALUE!</v>
      </c>
      <c r="M6" s="65" t="e">
        <f t="shared" si="0"/>
        <v>#VALUE!</v>
      </c>
      <c r="N6" s="174"/>
      <c r="O6" s="175"/>
      <c r="P6" s="175"/>
      <c r="Q6" s="175"/>
      <c r="R6" s="175"/>
      <c r="S6" s="176"/>
    </row>
    <row r="7" spans="2:19" ht="29.25" customHeight="1" thickBot="1" x14ac:dyDescent="0.25">
      <c r="B7" s="66"/>
      <c r="C7" s="67"/>
      <c r="D7" s="60"/>
      <c r="E7" s="68" t="s">
        <v>43</v>
      </c>
      <c r="F7" s="68" t="s">
        <v>49</v>
      </c>
      <c r="G7" s="69" t="s">
        <v>44</v>
      </c>
      <c r="I7" s="70" t="s">
        <v>31</v>
      </c>
      <c r="J7" s="71" t="s">
        <v>32</v>
      </c>
      <c r="K7" s="71" t="s">
        <v>33</v>
      </c>
      <c r="L7" s="71" t="s">
        <v>32</v>
      </c>
      <c r="M7" s="71" t="s">
        <v>34</v>
      </c>
      <c r="N7" s="180" t="s">
        <v>40</v>
      </c>
      <c r="O7" s="181"/>
      <c r="P7" s="181"/>
      <c r="Q7" s="181"/>
      <c r="R7" s="181"/>
      <c r="S7" s="182"/>
    </row>
    <row r="8" spans="2:19" ht="13.5" thickBot="1" x14ac:dyDescent="0.25">
      <c r="B8" s="72" t="s">
        <v>35</v>
      </c>
      <c r="C8" s="73">
        <f>SUM(G8:G14)</f>
        <v>69</v>
      </c>
      <c r="D8" s="74"/>
      <c r="E8" s="75" t="s">
        <v>137</v>
      </c>
      <c r="F8" s="76">
        <v>1</v>
      </c>
      <c r="G8" s="77">
        <v>10</v>
      </c>
      <c r="H8" s="78"/>
      <c r="I8" s="82">
        <f t="shared" ref="I8:I14" ca="1" si="1">IF(I$6&lt;$E$3,0,IF(ISBLANK($E8),0,IF(I$6&lt;$E$2,0,1)))</f>
        <v>1</v>
      </c>
      <c r="J8" s="83">
        <v>1</v>
      </c>
      <c r="K8" s="83">
        <v>1</v>
      </c>
      <c r="L8" s="83">
        <v>1</v>
      </c>
      <c r="M8" s="83">
        <v>1</v>
      </c>
      <c r="N8" s="177">
        <f t="shared" ref="N8:N14" ca="1" si="2">IF(E8="unassigned",0,(COUNTIF(I8:M8,1)*$C$6)*F8)</f>
        <v>10</v>
      </c>
      <c r="O8" s="178"/>
      <c r="P8" s="178"/>
      <c r="Q8" s="178"/>
      <c r="R8" s="178"/>
      <c r="S8" s="179"/>
    </row>
    <row r="9" spans="2:19" ht="13.5" thickBot="1" x14ac:dyDescent="0.25">
      <c r="B9" s="79" t="s">
        <v>36</v>
      </c>
      <c r="C9" s="73">
        <f ca="1">SUM(N8:S14)</f>
        <v>69</v>
      </c>
      <c r="D9" s="80"/>
      <c r="E9" s="18" t="s">
        <v>138</v>
      </c>
      <c r="F9" s="76">
        <v>1</v>
      </c>
      <c r="G9" s="77">
        <v>10</v>
      </c>
      <c r="H9" s="78"/>
      <c r="I9" s="82">
        <f t="shared" ca="1" si="1"/>
        <v>1</v>
      </c>
      <c r="J9" s="83">
        <v>1</v>
      </c>
      <c r="K9" s="83">
        <v>1</v>
      </c>
      <c r="L9" s="83">
        <v>1</v>
      </c>
      <c r="M9" s="83">
        <v>1</v>
      </c>
      <c r="N9" s="177">
        <f t="shared" ca="1" si="2"/>
        <v>10</v>
      </c>
      <c r="O9" s="178"/>
      <c r="P9" s="178"/>
      <c r="Q9" s="178"/>
      <c r="R9" s="178"/>
      <c r="S9" s="179"/>
    </row>
    <row r="10" spans="2:19" ht="13.5" thickBot="1" x14ac:dyDescent="0.25">
      <c r="B10" s="84" t="s">
        <v>37</v>
      </c>
      <c r="C10" s="85">
        <f ca="1">C8-C9</f>
        <v>0</v>
      </c>
      <c r="D10" s="60"/>
      <c r="E10" s="18" t="s">
        <v>139</v>
      </c>
      <c r="F10" s="81">
        <v>1</v>
      </c>
      <c r="G10" s="77">
        <v>10</v>
      </c>
      <c r="H10" s="78"/>
      <c r="I10" s="82">
        <f t="shared" ca="1" si="1"/>
        <v>1</v>
      </c>
      <c r="J10" s="83">
        <v>1</v>
      </c>
      <c r="K10" s="83">
        <v>1</v>
      </c>
      <c r="L10" s="83">
        <v>1</v>
      </c>
      <c r="M10" s="83">
        <v>1</v>
      </c>
      <c r="N10" s="177">
        <f t="shared" ca="1" si="2"/>
        <v>10</v>
      </c>
      <c r="O10" s="178"/>
      <c r="P10" s="178"/>
      <c r="Q10" s="178"/>
      <c r="R10" s="178"/>
      <c r="S10" s="179"/>
    </row>
    <row r="11" spans="2:19" ht="13.5" thickBot="1" x14ac:dyDescent="0.25">
      <c r="B11" s="86"/>
      <c r="D11" s="87"/>
      <c r="E11" s="18" t="s">
        <v>140</v>
      </c>
      <c r="F11" s="81">
        <v>0.9</v>
      </c>
      <c r="G11" s="77">
        <v>9</v>
      </c>
      <c r="H11" s="78"/>
      <c r="I11" s="82">
        <f t="shared" ca="1" si="1"/>
        <v>1</v>
      </c>
      <c r="J11" s="83">
        <v>1</v>
      </c>
      <c r="K11" s="83">
        <v>1</v>
      </c>
      <c r="L11" s="83">
        <v>1</v>
      </c>
      <c r="M11" s="83">
        <v>1</v>
      </c>
      <c r="N11" s="177">
        <f t="shared" ca="1" si="2"/>
        <v>9</v>
      </c>
      <c r="O11" s="178"/>
      <c r="P11" s="178"/>
      <c r="Q11" s="178"/>
      <c r="R11" s="178"/>
      <c r="S11" s="179"/>
    </row>
    <row r="12" spans="2:19" ht="13.5" thickBot="1" x14ac:dyDescent="0.25">
      <c r="B12" s="86"/>
      <c r="D12" s="87"/>
      <c r="E12" s="18" t="s">
        <v>136</v>
      </c>
      <c r="F12" s="76">
        <v>1</v>
      </c>
      <c r="G12" s="77">
        <v>10</v>
      </c>
      <c r="H12" s="78"/>
      <c r="I12" s="82">
        <f t="shared" ca="1" si="1"/>
        <v>1</v>
      </c>
      <c r="J12" s="83">
        <v>1</v>
      </c>
      <c r="K12" s="83">
        <v>1</v>
      </c>
      <c r="L12" s="83">
        <v>1</v>
      </c>
      <c r="M12" s="83">
        <v>1</v>
      </c>
      <c r="N12" s="177">
        <f t="shared" ca="1" si="2"/>
        <v>10</v>
      </c>
      <c r="O12" s="178"/>
      <c r="P12" s="178"/>
      <c r="Q12" s="178"/>
      <c r="R12" s="178"/>
      <c r="S12" s="179"/>
    </row>
    <row r="13" spans="2:19" ht="13.5" thickBot="1" x14ac:dyDescent="0.25">
      <c r="B13" s="86"/>
      <c r="D13" s="88"/>
      <c r="E13" s="18" t="s">
        <v>141</v>
      </c>
      <c r="F13" s="81">
        <v>1</v>
      </c>
      <c r="G13" s="77">
        <v>10</v>
      </c>
      <c r="H13" s="78"/>
      <c r="I13" s="82">
        <f t="shared" ca="1" si="1"/>
        <v>1</v>
      </c>
      <c r="J13" s="83">
        <v>1</v>
      </c>
      <c r="K13" s="83">
        <v>1</v>
      </c>
      <c r="L13" s="83">
        <v>1</v>
      </c>
      <c r="M13" s="83">
        <v>1</v>
      </c>
      <c r="N13" s="177">
        <f t="shared" ca="1" si="2"/>
        <v>10</v>
      </c>
      <c r="O13" s="178"/>
      <c r="P13" s="178"/>
      <c r="Q13" s="178"/>
      <c r="R13" s="178"/>
      <c r="S13" s="179"/>
    </row>
    <row r="14" spans="2:19" ht="13.5" thickBot="1" x14ac:dyDescent="0.25">
      <c r="B14" s="86"/>
      <c r="D14" s="60"/>
      <c r="E14" s="18" t="s">
        <v>142</v>
      </c>
      <c r="F14" s="81">
        <v>1</v>
      </c>
      <c r="G14" s="77">
        <v>10</v>
      </c>
      <c r="H14" s="78"/>
      <c r="I14" s="82">
        <f t="shared" ca="1" si="1"/>
        <v>1</v>
      </c>
      <c r="J14" s="83">
        <v>1</v>
      </c>
      <c r="K14" s="83">
        <v>1</v>
      </c>
      <c r="L14" s="83">
        <v>1</v>
      </c>
      <c r="M14" s="83">
        <v>1</v>
      </c>
      <c r="N14" s="177">
        <f t="shared" ca="1" si="2"/>
        <v>10</v>
      </c>
      <c r="O14" s="178"/>
      <c r="P14" s="178"/>
      <c r="Q14" s="178"/>
      <c r="R14" s="178"/>
      <c r="S14" s="179"/>
    </row>
    <row r="15" spans="2:19" x14ac:dyDescent="0.2">
      <c r="B15" s="86"/>
      <c r="D15" s="88"/>
      <c r="E15" s="90"/>
      <c r="F15" s="89"/>
      <c r="G15" s="91"/>
      <c r="I15" s="92"/>
      <c r="J15" s="93"/>
      <c r="K15" s="93"/>
      <c r="L15" s="93"/>
      <c r="M15" s="93"/>
      <c r="N15" s="94"/>
      <c r="O15" s="94"/>
      <c r="P15" s="94"/>
      <c r="Q15" s="94"/>
      <c r="R15" s="94"/>
      <c r="S15" s="95"/>
    </row>
    <row r="16" spans="2:19" ht="13.5" thickBot="1" x14ac:dyDescent="0.25">
      <c r="B16" s="96"/>
      <c r="C16" s="97"/>
      <c r="D16" s="97"/>
      <c r="E16" s="98"/>
      <c r="F16" s="98"/>
      <c r="G16" s="99"/>
      <c r="I16" s="100"/>
      <c r="J16" s="98"/>
      <c r="K16" s="98"/>
      <c r="L16" s="98"/>
      <c r="M16" s="101"/>
      <c r="N16" s="98"/>
      <c r="O16" s="98"/>
      <c r="P16" s="98"/>
      <c r="Q16" s="98"/>
      <c r="R16" s="98"/>
      <c r="S16" s="99"/>
    </row>
    <row r="18" spans="2:13" x14ac:dyDescent="0.2">
      <c r="I18" s="102" t="s">
        <v>47</v>
      </c>
      <c r="J18" s="41" t="s">
        <v>38</v>
      </c>
      <c r="K18" s="41" t="s">
        <v>48</v>
      </c>
    </row>
    <row r="19" spans="2:13" x14ac:dyDescent="0.2">
      <c r="C19" s="103"/>
      <c r="D19" s="103"/>
    </row>
    <row r="20" spans="2:13" x14ac:dyDescent="0.2">
      <c r="B20" s="88"/>
      <c r="C20" s="103"/>
      <c r="D20" s="103"/>
      <c r="E20" s="104"/>
      <c r="J20" s="6"/>
    </row>
    <row r="21" spans="2:13" x14ac:dyDescent="0.2">
      <c r="C21" s="103"/>
      <c r="D21" s="103"/>
      <c r="E21" s="104"/>
      <c r="F21" s="51"/>
    </row>
    <row r="26" spans="2:13" x14ac:dyDescent="0.2">
      <c r="I26" s="105"/>
    </row>
    <row r="27" spans="2:13" x14ac:dyDescent="0.2">
      <c r="J27" s="106"/>
      <c r="K27" s="107"/>
      <c r="L27" s="107"/>
      <c r="M27" s="107"/>
    </row>
    <row r="29" spans="2:13" x14ac:dyDescent="0.2">
      <c r="E29" s="6"/>
    </row>
    <row r="34" spans="2:5" x14ac:dyDescent="0.2">
      <c r="B34" s="108"/>
      <c r="E34" s="105"/>
    </row>
  </sheetData>
  <mergeCells count="10">
    <mergeCell ref="N13:S13"/>
    <mergeCell ref="N14:S14"/>
    <mergeCell ref="B5:G5"/>
    <mergeCell ref="N6:S6"/>
    <mergeCell ref="N12:S12"/>
    <mergeCell ref="N11:S11"/>
    <mergeCell ref="N7:S7"/>
    <mergeCell ref="N8:S8"/>
    <mergeCell ref="N9:S9"/>
    <mergeCell ref="N10:S10"/>
  </mergeCells>
  <phoneticPr fontId="0" type="noConversion"/>
  <conditionalFormatting sqref="G8:G14">
    <cfRule type="expression" dxfId="26" priority="2" stopIfTrue="1">
      <formula>G8&gt;N8</formula>
    </cfRule>
  </conditionalFormatting>
  <conditionalFormatting sqref="I8:M14">
    <cfRule type="cellIs" dxfId="25" priority="5" stopIfTrue="1" operator="equal">
      <formula>"H"</formula>
    </cfRule>
    <cfRule type="cellIs" dxfId="24" priority="6" stopIfTrue="1" operator="equal">
      <formula>"V"</formula>
    </cfRule>
    <cfRule type="expression" dxfId="23" priority="7" stopIfTrue="1">
      <formula>IF(I$6&lt;$E$2,1,0)</formula>
    </cfRule>
  </conditionalFormatting>
  <conditionalFormatting sqref="O19:O23 O15:O17 J21:J23 J15:J19 I15:I23 K15:N23">
    <cfRule type="cellIs" dxfId="22" priority="13" stopIfTrue="1" operator="equal">
      <formula>"DIO"</formula>
    </cfRule>
    <cfRule type="cellIs" dxfId="21" priority="14" stopIfTrue="1" operator="equal">
      <formula>"H"</formula>
    </cfRule>
    <cfRule type="cellIs" dxfId="20" priority="15" stopIfTrue="1" operator="equal">
      <formula>"V"</formula>
    </cfRule>
  </conditionalFormatting>
  <conditionalFormatting sqref="J6:M6">
    <cfRule type="expression" dxfId="19" priority="21" stopIfTrue="1">
      <formula>J$6=TODAY()</formula>
    </cfRule>
    <cfRule type="expression" dxfId="18" priority="22" stopIfTrue="1">
      <formula>IF((J$6+1-$E$3)=$F$6,1,0)</formula>
    </cfRule>
  </conditionalFormatting>
  <conditionalFormatting sqref="I6">
    <cfRule type="expression" dxfId="17" priority="25" stopIfTrue="1">
      <formula>I$6=TODAY()</formula>
    </cfRule>
    <cfRule type="expression" dxfId="16" priority="26" stopIfTrue="1">
      <formula>IF((J$6+1-$E$3)=$F$6,1,0)</formula>
    </cfRule>
  </conditionalFormatting>
  <conditionalFormatting sqref="C10">
    <cfRule type="cellIs" dxfId="15" priority="8" stopIfTrue="1" operator="greaterThan">
      <formula>0</formula>
    </cfRule>
    <cfRule type="cellIs" dxfId="14" priority="9" stopIfTrue="1" operator="lessThanOrEqual">
      <formula>0</formula>
    </cfRule>
  </conditionalFormatting>
  <conditionalFormatting sqref="D14 D6:D12 C6:C9">
    <cfRule type="cellIs" dxfId="13" priority="10" stopIfTrue="1" operator="equal">
      <formula>"3A"</formula>
    </cfRule>
    <cfRule type="cellIs" dxfId="12" priority="11" stopIfTrue="1" operator="equal">
      <formula>"3B"</formula>
    </cfRule>
  </conditionalFormatting>
  <conditionalFormatting sqref="G21:G23 G6">
    <cfRule type="cellIs" dxfId="11" priority="12" stopIfTrue="1" operator="equal">
      <formula>"Done"</formula>
    </cfRule>
  </conditionalFormatting>
  <conditionalFormatting sqref="I7:K7 M7:N7">
    <cfRule type="cellIs" dxfId="10" priority="16" stopIfTrue="1" operator="equal">
      <formula>"DIO"</formula>
    </cfRule>
    <cfRule type="cellIs" dxfId="9" priority="17" stopIfTrue="1" operator="equal">
      <formula>"H"</formula>
    </cfRule>
    <cfRule type="cellIs" dxfId="8" priority="18" stopIfTrue="1" operator="equal">
      <formula>"V"</formula>
    </cfRule>
  </conditionalFormatting>
  <conditionalFormatting sqref="L7">
    <cfRule type="cellIs" dxfId="7" priority="19" stopIfTrue="1" operator="equal">
      <formula>"DIO"</formula>
    </cfRule>
    <cfRule type="cellIs" dxfId="6" priority="20" stopIfTrue="1" operator="equal">
      <formula>"H"</formula>
    </cfRule>
  </conditionalFormatting>
  <conditionalFormatting sqref="F8:F16">
    <cfRule type="expression" dxfId="5" priority="97" stopIfTrue="1">
      <formula>H8&gt;O8</formula>
    </cfRule>
  </conditionalFormatting>
  <conditionalFormatting sqref="F19:F22">
    <cfRule type="expression" dxfId="4" priority="99" stopIfTrue="1">
      <formula>H17&gt;O17</formula>
    </cfRule>
  </conditionalFormatting>
  <dataValidations count="1">
    <dataValidation type="list" allowBlank="1" showInputMessage="1" showErrorMessage="1" sqref="B19 E8:E14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2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C8" sqref="C8:D14"/>
    </sheetView>
  </sheetViews>
  <sheetFormatPr defaultRowHeight="12.75" x14ac:dyDescent="0.2"/>
  <cols>
    <col min="1" max="1" width="2.7109375" style="41" customWidth="1"/>
    <col min="2" max="2" width="18.42578125" style="41" bestFit="1" customWidth="1"/>
    <col min="3" max="4" width="14.140625" style="41" bestFit="1" customWidth="1"/>
    <col min="5" max="6" width="15.140625" style="41" bestFit="1" customWidth="1"/>
    <col min="7" max="7" width="13.7109375" style="41" customWidth="1"/>
    <col min="8" max="8" width="28.7109375" style="41" customWidth="1"/>
    <col min="9" max="9" width="2.85546875" style="41" bestFit="1" customWidth="1"/>
    <col min="10" max="16384" width="9.140625" style="41"/>
  </cols>
  <sheetData>
    <row r="4" spans="2:8" x14ac:dyDescent="0.2">
      <c r="B4" s="109" t="s">
        <v>52</v>
      </c>
    </row>
    <row r="5" spans="2:8" ht="13.5" thickBot="1" x14ac:dyDescent="0.25"/>
    <row r="6" spans="2:8" ht="14.25" thickTop="1" thickBot="1" x14ac:dyDescent="0.25">
      <c r="B6" s="109" t="s">
        <v>39</v>
      </c>
      <c r="C6" s="110" t="s">
        <v>93</v>
      </c>
      <c r="D6" s="111" t="s">
        <v>86</v>
      </c>
      <c r="E6" s="112" t="s">
        <v>92</v>
      </c>
      <c r="F6" s="113" t="s">
        <v>91</v>
      </c>
      <c r="G6" s="113" t="s">
        <v>95</v>
      </c>
      <c r="H6" s="114" t="s">
        <v>94</v>
      </c>
    </row>
    <row r="7" spans="2:8" ht="13.5" thickTop="1" x14ac:dyDescent="0.2">
      <c r="C7" s="115"/>
      <c r="D7" s="116" t="s">
        <v>46</v>
      </c>
      <c r="E7" s="117"/>
      <c r="F7" s="118"/>
      <c r="G7" s="118"/>
      <c r="H7" s="119"/>
    </row>
    <row r="8" spans="2:8" ht="15" x14ac:dyDescent="0.25">
      <c r="C8" s="120" t="s">
        <v>129</v>
      </c>
      <c r="D8" s="166" t="s">
        <v>136</v>
      </c>
      <c r="E8" s="121" t="s">
        <v>89</v>
      </c>
      <c r="F8" s="122" t="s">
        <v>90</v>
      </c>
      <c r="G8" s="121" t="s">
        <v>96</v>
      </c>
      <c r="H8" s="121" t="s">
        <v>87</v>
      </c>
    </row>
    <row r="9" spans="2:8" ht="15" x14ac:dyDescent="0.25">
      <c r="C9" s="120" t="s">
        <v>130</v>
      </c>
      <c r="D9" s="166" t="s">
        <v>137</v>
      </c>
      <c r="E9" s="121" t="s">
        <v>89</v>
      </c>
      <c r="F9" s="122" t="s">
        <v>90</v>
      </c>
      <c r="G9" s="121" t="s">
        <v>96</v>
      </c>
      <c r="H9" s="121" t="s">
        <v>87</v>
      </c>
    </row>
    <row r="10" spans="2:8" ht="11.25" customHeight="1" x14ac:dyDescent="0.2">
      <c r="C10" s="120" t="s">
        <v>131</v>
      </c>
      <c r="D10" s="167" t="s">
        <v>138</v>
      </c>
      <c r="E10" s="121" t="s">
        <v>89</v>
      </c>
      <c r="F10" s="122" t="s">
        <v>90</v>
      </c>
      <c r="G10" s="121" t="s">
        <v>96</v>
      </c>
      <c r="H10" s="121" t="s">
        <v>87</v>
      </c>
    </row>
    <row r="11" spans="2:8" x14ac:dyDescent="0.2">
      <c r="C11" s="120" t="s">
        <v>132</v>
      </c>
      <c r="D11" s="168" t="s">
        <v>139</v>
      </c>
      <c r="E11" s="121" t="s">
        <v>89</v>
      </c>
      <c r="F11" s="122" t="s">
        <v>90</v>
      </c>
      <c r="G11" s="121" t="s">
        <v>96</v>
      </c>
      <c r="H11" s="121" t="s">
        <v>87</v>
      </c>
    </row>
    <row r="12" spans="2:8" x14ac:dyDescent="0.2">
      <c r="C12" s="120" t="s">
        <v>133</v>
      </c>
      <c r="D12" s="168" t="s">
        <v>140</v>
      </c>
      <c r="E12" s="121" t="s">
        <v>89</v>
      </c>
      <c r="F12" s="122" t="s">
        <v>90</v>
      </c>
      <c r="G12" s="121" t="s">
        <v>96</v>
      </c>
      <c r="H12" s="121" t="s">
        <v>87</v>
      </c>
    </row>
    <row r="13" spans="2:8" x14ac:dyDescent="0.2">
      <c r="C13" s="120" t="s">
        <v>134</v>
      </c>
      <c r="D13" s="167" t="s">
        <v>141</v>
      </c>
      <c r="E13" s="121" t="s">
        <v>89</v>
      </c>
      <c r="F13" s="122" t="s">
        <v>90</v>
      </c>
      <c r="G13" s="121" t="s">
        <v>96</v>
      </c>
      <c r="H13" s="121" t="s">
        <v>87</v>
      </c>
    </row>
    <row r="14" spans="2:8" x14ac:dyDescent="0.2">
      <c r="C14" s="120" t="s">
        <v>135</v>
      </c>
      <c r="D14" s="167" t="s">
        <v>142</v>
      </c>
      <c r="E14" s="121" t="s">
        <v>89</v>
      </c>
      <c r="F14" s="122" t="s">
        <v>90</v>
      </c>
      <c r="G14" s="121" t="s">
        <v>96</v>
      </c>
      <c r="H14" s="121" t="s">
        <v>87</v>
      </c>
    </row>
    <row r="15" spans="2:8" x14ac:dyDescent="0.2">
      <c r="C15" s="120" t="s">
        <v>128</v>
      </c>
      <c r="D15" s="121" t="s">
        <v>128</v>
      </c>
      <c r="E15" s="121"/>
      <c r="F15" s="122"/>
      <c r="G15" s="121"/>
      <c r="H15" s="121"/>
    </row>
    <row r="16" spans="2:8" x14ac:dyDescent="0.2">
      <c r="C16" s="120"/>
      <c r="D16" s="121"/>
      <c r="E16" s="121"/>
      <c r="F16" s="122"/>
      <c r="G16" s="121"/>
      <c r="H16" s="121"/>
    </row>
    <row r="17" spans="3:8" x14ac:dyDescent="0.2">
      <c r="C17" s="120"/>
      <c r="D17" s="121"/>
      <c r="E17" s="121"/>
      <c r="F17" s="122"/>
      <c r="G17" s="121"/>
      <c r="H17" s="121"/>
    </row>
    <row r="18" spans="3:8" x14ac:dyDescent="0.2">
      <c r="C18" s="120"/>
      <c r="D18" s="121"/>
      <c r="E18" s="121"/>
      <c r="F18" s="122"/>
      <c r="G18" s="121"/>
      <c r="H18" s="121"/>
    </row>
    <row r="19" spans="3:8" x14ac:dyDescent="0.2">
      <c r="C19" s="120"/>
      <c r="D19" s="121"/>
      <c r="E19" s="121"/>
      <c r="F19" s="122"/>
      <c r="G19" s="121"/>
      <c r="H19" s="121"/>
    </row>
    <row r="20" spans="3:8" x14ac:dyDescent="0.2">
      <c r="C20" s="120"/>
      <c r="D20" s="121"/>
      <c r="E20" s="121"/>
      <c r="F20" s="122"/>
      <c r="G20" s="121"/>
      <c r="H20" s="121"/>
    </row>
    <row r="21" spans="3:8" x14ac:dyDescent="0.2">
      <c r="C21" s="120"/>
      <c r="D21" s="121"/>
      <c r="E21" s="121"/>
      <c r="F21" s="122"/>
      <c r="G21" s="121"/>
      <c r="H21" s="121"/>
    </row>
    <row r="22" spans="3:8" x14ac:dyDescent="0.2">
      <c r="C22" s="120"/>
      <c r="D22" s="121"/>
      <c r="E22" s="121"/>
      <c r="F22" s="122"/>
      <c r="G22" s="121"/>
      <c r="H22" s="121"/>
    </row>
    <row r="23" spans="3:8" x14ac:dyDescent="0.2">
      <c r="C23" s="120"/>
      <c r="D23" s="121"/>
      <c r="E23" s="121"/>
      <c r="F23" s="122"/>
      <c r="G23" s="121"/>
      <c r="H23" s="121"/>
    </row>
    <row r="24" spans="3:8" x14ac:dyDescent="0.2">
      <c r="C24" s="120"/>
      <c r="D24" s="121"/>
      <c r="E24" s="121"/>
      <c r="F24" s="122"/>
      <c r="G24" s="121"/>
      <c r="H24" s="121"/>
    </row>
    <row r="25" spans="3:8" ht="13.5" thickBot="1" x14ac:dyDescent="0.25">
      <c r="C25" s="123"/>
      <c r="D25" s="124"/>
      <c r="E25" s="124"/>
      <c r="F25" s="125"/>
      <c r="G25" s="126"/>
      <c r="H25" s="127"/>
    </row>
    <row r="26" spans="3:8" ht="13.5" thickTop="1" x14ac:dyDescent="0.2"/>
    <row r="41" spans="7:9" x14ac:dyDescent="0.2">
      <c r="G41" s="109"/>
      <c r="I41" s="128"/>
    </row>
    <row r="43" spans="7:9" x14ac:dyDescent="0.2">
      <c r="G43" s="109"/>
      <c r="H43" s="128"/>
      <c r="I43" s="12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abSelected="1" workbookViewId="0">
      <selection activeCell="E34" sqref="E3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52" t="s">
        <v>99</v>
      </c>
      <c r="B1" s="153"/>
    </row>
    <row r="2" spans="1:3" ht="15" x14ac:dyDescent="0.25">
      <c r="A2" s="154" t="s">
        <v>100</v>
      </c>
      <c r="B2" s="155">
        <f>COUNTIF(Sprint!$A$4:$A$49, "Feature")</f>
        <v>3</v>
      </c>
      <c r="C2" s="160">
        <f>B2/$B$6</f>
        <v>0.21428571428571427</v>
      </c>
    </row>
    <row r="3" spans="1:3" ht="15" x14ac:dyDescent="0.25">
      <c r="A3" s="154" t="s">
        <v>101</v>
      </c>
      <c r="B3" s="155">
        <f>COUNTIF(Sprint!$A$4:$A$49, "Tax")</f>
        <v>0</v>
      </c>
      <c r="C3" s="160">
        <f t="shared" ref="C3:C5" si="0">B3/$B$6</f>
        <v>0</v>
      </c>
    </row>
    <row r="4" spans="1:3" ht="15" x14ac:dyDescent="0.25">
      <c r="A4" s="154" t="s">
        <v>102</v>
      </c>
      <c r="B4" s="155">
        <f>COUNTIF(Sprint!$A$4:$A$49, "Precondition")</f>
        <v>9</v>
      </c>
      <c r="C4" s="160">
        <f t="shared" si="0"/>
        <v>0.6428571428571429</v>
      </c>
    </row>
    <row r="5" spans="1:3" ht="15" x14ac:dyDescent="0.25">
      <c r="A5" s="154" t="s">
        <v>103</v>
      </c>
      <c r="B5" s="155">
        <f>COUNTIF(Sprint!$A$4:$A$49, "Spike")</f>
        <v>2</v>
      </c>
      <c r="C5" s="160">
        <f t="shared" si="0"/>
        <v>0.14285714285714285</v>
      </c>
    </row>
    <row r="6" spans="1:3" ht="15" x14ac:dyDescent="0.25">
      <c r="A6" s="156" t="s">
        <v>123</v>
      </c>
      <c r="B6" s="161">
        <f>SUM(B2:B5)</f>
        <v>14</v>
      </c>
      <c r="C6" s="162">
        <f>SUM(C2:C5)</f>
        <v>1</v>
      </c>
    </row>
    <row r="7" spans="1:3" ht="15" x14ac:dyDescent="0.25">
      <c r="A7" s="155"/>
      <c r="B7" s="155"/>
    </row>
    <row r="8" spans="1:3" ht="15" x14ac:dyDescent="0.25">
      <c r="A8" s="156" t="s">
        <v>104</v>
      </c>
      <c r="B8" s="155"/>
    </row>
    <row r="9" spans="1:3" ht="15" x14ac:dyDescent="0.25">
      <c r="A9" s="154" t="s">
        <v>105</v>
      </c>
      <c r="B9" s="155">
        <f>COUNTIF(Sprint!$B$4:$B$166, "Data Model")</f>
        <v>1</v>
      </c>
      <c r="C9" s="160">
        <f>B9/$B$25</f>
        <v>7.1428571428571425E-2</v>
      </c>
    </row>
    <row r="10" spans="1:3" ht="15" x14ac:dyDescent="0.25">
      <c r="A10" s="154" t="s">
        <v>106</v>
      </c>
      <c r="B10" s="155">
        <f>COUNTIF(Sprint!$B$4:$B$166, "Integration Model")</f>
        <v>3</v>
      </c>
      <c r="C10" s="160">
        <f>B10/$B$25</f>
        <v>0.21428571428571427</v>
      </c>
    </row>
    <row r="11" spans="1:3" ht="15" x14ac:dyDescent="0.25">
      <c r="A11" s="154" t="s">
        <v>107</v>
      </c>
      <c r="B11" s="155">
        <f>COUNTIF(Sprint!$B$4:$B$166, "System Frameworks")</f>
        <v>0</v>
      </c>
      <c r="C11" s="160">
        <f>B11/$B$25</f>
        <v>0</v>
      </c>
    </row>
    <row r="12" spans="1:3" ht="15" x14ac:dyDescent="0.25">
      <c r="A12" s="154" t="s">
        <v>108</v>
      </c>
      <c r="B12" s="155">
        <f>COUNTIF(Sprint!$B$4:$B$166, "Data Conversions")</f>
        <v>0</v>
      </c>
      <c r="C12" s="160">
        <f t="shared" ref="C12:C24" si="1">B12/$B$25</f>
        <v>0</v>
      </c>
    </row>
    <row r="13" spans="1:3" ht="15" x14ac:dyDescent="0.25">
      <c r="A13" s="154" t="s">
        <v>109</v>
      </c>
      <c r="B13" s="155">
        <f>COUNTIF(Sprint!$B$4:$B$166, "Security")</f>
        <v>0</v>
      </c>
      <c r="C13" s="160">
        <f t="shared" si="1"/>
        <v>0</v>
      </c>
    </row>
    <row r="14" spans="1:3" ht="15" x14ac:dyDescent="0.25">
      <c r="A14" s="154" t="s">
        <v>110</v>
      </c>
      <c r="B14" s="155">
        <f>COUNTIF(Sprint!$B$4:$B$166, "Cash Payment Tracking")</f>
        <v>0</v>
      </c>
      <c r="C14" s="160">
        <f t="shared" si="1"/>
        <v>0</v>
      </c>
    </row>
    <row r="15" spans="1:3" ht="15" x14ac:dyDescent="0.25">
      <c r="A15" s="154" t="s">
        <v>111</v>
      </c>
      <c r="B15" s="155">
        <f>COUNTIF(Sprint!$B$4:$B$166, "Views")</f>
        <v>2</v>
      </c>
      <c r="C15" s="160">
        <f t="shared" si="1"/>
        <v>0.14285714285714285</v>
      </c>
    </row>
    <row r="16" spans="1:3" ht="15" x14ac:dyDescent="0.25">
      <c r="A16" s="154" t="s">
        <v>112</v>
      </c>
      <c r="B16" s="155">
        <f>COUNTIF(Sprint!$B$4:$B$166, "Lookups")</f>
        <v>0</v>
      </c>
      <c r="C16" s="160">
        <f t="shared" si="1"/>
        <v>0</v>
      </c>
    </row>
    <row r="17" spans="1:3" ht="15" x14ac:dyDescent="0.25">
      <c r="A17" s="154" t="s">
        <v>113</v>
      </c>
      <c r="B17" s="155">
        <f>COUNTIF(Sprint!$B$4:$B$166, "Detail screens")</f>
        <v>0</v>
      </c>
      <c r="C17" s="160">
        <f t="shared" si="1"/>
        <v>0</v>
      </c>
    </row>
    <row r="18" spans="1:3" ht="15" x14ac:dyDescent="0.25">
      <c r="A18" s="154" t="s">
        <v>114</v>
      </c>
      <c r="B18" s="155">
        <f>COUNTIF(Sprint!$B$4:$B$166, "Notifications")</f>
        <v>0</v>
      </c>
      <c r="C18" s="160">
        <f t="shared" si="1"/>
        <v>0</v>
      </c>
    </row>
    <row r="19" spans="1:3" ht="15" x14ac:dyDescent="0.25">
      <c r="A19" s="154" t="s">
        <v>115</v>
      </c>
      <c r="B19" s="155">
        <f>COUNTIF(Sprint!$B$4:$B$166, "Reports")</f>
        <v>0</v>
      </c>
      <c r="C19" s="160">
        <f t="shared" si="1"/>
        <v>0</v>
      </c>
    </row>
    <row r="20" spans="1:3" ht="15" x14ac:dyDescent="0.25">
      <c r="A20" s="154" t="s">
        <v>116</v>
      </c>
      <c r="B20" s="155">
        <f>COUNTIF(Sprint!$B$4:$B$166, "Installation Package")</f>
        <v>0</v>
      </c>
      <c r="C20" s="160">
        <f t="shared" si="1"/>
        <v>0</v>
      </c>
    </row>
    <row r="21" spans="1:3" ht="15" x14ac:dyDescent="0.25">
      <c r="A21" s="154" t="s">
        <v>117</v>
      </c>
      <c r="B21" s="155">
        <f>COUNTIF(Sprint!$B$4:$B$166, "Deployment")</f>
        <v>3</v>
      </c>
      <c r="C21" s="160">
        <f t="shared" si="1"/>
        <v>0.21428571428571427</v>
      </c>
    </row>
    <row r="22" spans="1:3" ht="15" x14ac:dyDescent="0.25">
      <c r="A22" s="154" t="s">
        <v>118</v>
      </c>
      <c r="B22" s="155">
        <f>COUNTIF(Sprint!$B$4:$B$166, "Documentation")</f>
        <v>3</v>
      </c>
      <c r="C22" s="160">
        <f t="shared" si="1"/>
        <v>0.21428571428571427</v>
      </c>
    </row>
    <row r="23" spans="1:3" ht="15" x14ac:dyDescent="0.25">
      <c r="A23" s="154" t="s">
        <v>119</v>
      </c>
      <c r="B23" s="155">
        <f>COUNTIF(Sprint!$B$4:$B$166, "Testing")</f>
        <v>2</v>
      </c>
      <c r="C23" s="160">
        <f t="shared" si="1"/>
        <v>0.14285714285714285</v>
      </c>
    </row>
    <row r="24" spans="1:3" ht="15" x14ac:dyDescent="0.25">
      <c r="A24" s="154" t="s">
        <v>120</v>
      </c>
      <c r="B24" s="155">
        <f>COUNTIF(Sprint!$B$4:$B$166, "Project Mgt")</f>
        <v>0</v>
      </c>
      <c r="C24" s="160">
        <f t="shared" si="1"/>
        <v>0</v>
      </c>
    </row>
    <row r="25" spans="1:3" ht="15" x14ac:dyDescent="0.25">
      <c r="A25" s="156" t="s">
        <v>123</v>
      </c>
      <c r="B25" s="159">
        <f>SUM(B9:B24)</f>
        <v>14</v>
      </c>
      <c r="C25" s="160">
        <f>SUM(C9:C24)</f>
        <v>1</v>
      </c>
    </row>
    <row r="27" spans="1:3" ht="15" x14ac:dyDescent="0.25">
      <c r="A27" s="158" t="s">
        <v>122</v>
      </c>
    </row>
    <row r="28" spans="1:3" ht="15" x14ac:dyDescent="0.25">
      <c r="A28" s="154" t="s">
        <v>124</v>
      </c>
      <c r="B28" s="155">
        <f ca="1">COUNTIF(Sprint!$G$4:$G$49, "Complete")</f>
        <v>14</v>
      </c>
      <c r="C28" s="160">
        <f ca="1">B28/$B$33</f>
        <v>1</v>
      </c>
    </row>
    <row r="29" spans="1:3" ht="15" x14ac:dyDescent="0.25">
      <c r="A29" s="154" t="s">
        <v>125</v>
      </c>
      <c r="B29" s="155">
        <f ca="1">COUNTIF(Sprint!$G$4:$G$49, "In Progress")</f>
        <v>0</v>
      </c>
      <c r="C29" s="160">
        <f t="shared" ref="C29:C32" ca="1" si="2">B29/$B$33</f>
        <v>0</v>
      </c>
    </row>
    <row r="30" spans="1:3" ht="15" x14ac:dyDescent="0.25">
      <c r="A30" s="154" t="s">
        <v>126</v>
      </c>
      <c r="B30" s="155">
        <f ca="1">COUNTIF(Sprint!$G$4:$G$49, "Pending")</f>
        <v>0</v>
      </c>
      <c r="C30" s="160">
        <f t="shared" ca="1" si="2"/>
        <v>0</v>
      </c>
    </row>
    <row r="31" spans="1:3" ht="15" x14ac:dyDescent="0.25">
      <c r="A31" s="154" t="s">
        <v>121</v>
      </c>
      <c r="B31" s="155">
        <f ca="1">COUNTIF(Sprint!$G$4:$G$49, "Postponed")</f>
        <v>0</v>
      </c>
      <c r="C31" s="160">
        <f t="shared" ca="1" si="2"/>
        <v>0</v>
      </c>
    </row>
    <row r="32" spans="1:3" ht="15" x14ac:dyDescent="0.25">
      <c r="A32" s="158" t="s">
        <v>127</v>
      </c>
      <c r="B32" s="155">
        <f ca="1">COUNTIF(Sprint!$G$4:$G$49, "Cancelled")</f>
        <v>0</v>
      </c>
      <c r="C32" s="160">
        <f t="shared" ca="1" si="2"/>
        <v>0</v>
      </c>
    </row>
    <row r="33" spans="1:3" ht="15" x14ac:dyDescent="0.25">
      <c r="A33" s="163" t="s">
        <v>123</v>
      </c>
      <c r="B33" s="164">
        <f ca="1">SUM(B28:B32)</f>
        <v>14</v>
      </c>
      <c r="C33" s="165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2016-12-24T11:00:39Z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5ee5cb0a-ed1a-4043-ae59-62ccfaab9932</vt:lpwstr>
  </property>
</Properties>
</file>