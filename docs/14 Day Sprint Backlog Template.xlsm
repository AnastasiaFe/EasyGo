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Sprint!$C$3:$CE$57</definedName>
    <definedName name="Burndown" localSheetId="1">Sprint!$J$4:$CD$58</definedName>
    <definedName name="Burndown">Sprint!$J$4:$CD$58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Sprint!$CE$4:$CE$58</definedName>
    <definedName name="TotalEffort">Sprint!$CE$4:$CE$58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1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39" i="7"/>
  <c r="R39" i="7"/>
  <c r="U39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O21" i="7" l="1"/>
  <c r="O56" i="7"/>
  <c r="R56" i="7" s="1"/>
  <c r="O40" i="7"/>
  <c r="R40" i="7" s="1"/>
  <c r="U40" i="7" s="1"/>
  <c r="G40" i="7"/>
  <c r="X40" i="7"/>
  <c r="G39" i="7"/>
  <c r="X39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5" i="7"/>
  <c r="O53" i="7"/>
  <c r="O51" i="7"/>
  <c r="R51" i="7" s="1"/>
  <c r="U51" i="7" s="1"/>
  <c r="G51" i="7" s="1"/>
  <c r="O49" i="7"/>
  <c r="O47" i="7"/>
  <c r="R47" i="7" s="1"/>
  <c r="U47" i="7" s="1"/>
  <c r="G47" i="7" s="1"/>
  <c r="O54" i="7"/>
  <c r="O52" i="7"/>
  <c r="R52" i="7" s="1"/>
  <c r="U52" i="7" s="1"/>
  <c r="G52" i="7" s="1"/>
  <c r="O50" i="7"/>
  <c r="R49" i="7"/>
  <c r="O48" i="7"/>
  <c r="O46" i="7"/>
  <c r="R46" i="7" s="1"/>
  <c r="AA40" i="7"/>
  <c r="AA39" i="7"/>
  <c r="O44" i="7"/>
  <c r="R44" i="7" s="1"/>
  <c r="O42" i="7"/>
  <c r="O38" i="7"/>
  <c r="R37" i="7"/>
  <c r="O36" i="7"/>
  <c r="R35" i="7"/>
  <c r="O34" i="7"/>
  <c r="O32" i="7"/>
  <c r="O30" i="7"/>
  <c r="R29" i="7"/>
  <c r="O28" i="7"/>
  <c r="R27" i="7"/>
  <c r="O26" i="7"/>
  <c r="O24" i="7"/>
  <c r="O22" i="7"/>
  <c r="O20" i="7"/>
  <c r="O7" i="7"/>
  <c r="R7" i="7" s="1"/>
  <c r="U7" i="7" s="1"/>
  <c r="G7" i="7" s="1"/>
  <c r="O5" i="7"/>
  <c r="R19" i="7"/>
  <c r="O18" i="7"/>
  <c r="O12" i="7"/>
  <c r="R12" i="7" s="1"/>
  <c r="O10" i="7"/>
  <c r="R10" i="7" s="1"/>
  <c r="O9" i="7"/>
  <c r="R9" i="7" s="1"/>
  <c r="O8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R50" i="7"/>
  <c r="R48" i="7"/>
  <c r="U48" i="7" s="1"/>
  <c r="G48" i="7" s="1"/>
  <c r="R42" i="7"/>
  <c r="U42" i="7" s="1"/>
  <c r="G42" i="7" s="1"/>
  <c r="R24" i="7"/>
  <c r="U24" i="7" s="1"/>
  <c r="G24" i="7" s="1"/>
  <c r="R21" i="7"/>
  <c r="R20" i="7"/>
  <c r="R18" i="7"/>
  <c r="U18" i="7" s="1"/>
  <c r="G18" i="7" s="1"/>
  <c r="O6" i="7"/>
  <c r="R17" i="7"/>
  <c r="O16" i="7"/>
  <c r="R15" i="7"/>
  <c r="O14" i="7"/>
  <c r="O11" i="7"/>
  <c r="R8" i="7"/>
  <c r="U8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U49" i="7" l="1"/>
  <c r="X49" i="7" s="1"/>
  <c r="AA49" i="7" s="1"/>
  <c r="R13" i="7"/>
  <c r="R25" i="7"/>
  <c r="U27" i="7"/>
  <c r="G27" i="7" s="1"/>
  <c r="R33" i="7"/>
  <c r="R43" i="7"/>
  <c r="G49" i="7"/>
  <c r="U56" i="7"/>
  <c r="R55" i="7"/>
  <c r="U55" i="7" s="1"/>
  <c r="R5" i="7"/>
  <c r="U5" i="7" s="1"/>
  <c r="G5" i="7" s="1"/>
  <c r="X27" i="7"/>
  <c r="AA27" i="7" s="1"/>
  <c r="R23" i="7"/>
  <c r="R31" i="7"/>
  <c r="R41" i="7"/>
  <c r="U41" i="7" s="1"/>
  <c r="R53" i="7"/>
  <c r="U31" i="7"/>
  <c r="AD39" i="7"/>
  <c r="AD40" i="7"/>
  <c r="AG40" i="7" s="1"/>
  <c r="G41" i="7"/>
  <c r="X41" i="7"/>
  <c r="G31" i="7"/>
  <c r="U21" i="7"/>
  <c r="G21" i="7" s="1"/>
  <c r="R11" i="7"/>
  <c r="U11" i="7" s="1"/>
  <c r="G11" i="7" s="1"/>
  <c r="U12" i="7"/>
  <c r="X8" i="7"/>
  <c r="U10" i="7"/>
  <c r="R16" i="7"/>
  <c r="U16" i="7" s="1"/>
  <c r="G16" i="7" s="1"/>
  <c r="X18" i="7"/>
  <c r="AA18" i="7" s="1"/>
  <c r="R22" i="7"/>
  <c r="U25" i="7"/>
  <c r="R30" i="7"/>
  <c r="R32" i="7"/>
  <c r="R38" i="7"/>
  <c r="R45" i="7"/>
  <c r="X42" i="7"/>
  <c r="U13" i="7"/>
  <c r="G13" i="7" s="1"/>
  <c r="U15" i="7"/>
  <c r="U17" i="7"/>
  <c r="G17" i="7" s="1"/>
  <c r="U33" i="7"/>
  <c r="U35" i="7"/>
  <c r="U37" i="7"/>
  <c r="U43" i="7"/>
  <c r="R54" i="7"/>
  <c r="G56" i="7"/>
  <c r="X56" i="7"/>
  <c r="AA56" i="7" s="1"/>
  <c r="X10" i="7"/>
  <c r="U9" i="7"/>
  <c r="X9" i="7" s="1"/>
  <c r="AA9" i="7" s="1"/>
  <c r="U23" i="7"/>
  <c r="R28" i="7"/>
  <c r="R34" i="7"/>
  <c r="U44" i="7"/>
  <c r="U46" i="7"/>
  <c r="X47" i="7"/>
  <c r="U50" i="7"/>
  <c r="X51" i="7"/>
  <c r="X7" i="7"/>
  <c r="AA7" i="7" s="1"/>
  <c r="AA8" i="7"/>
  <c r="R6" i="7"/>
  <c r="R14" i="7"/>
  <c r="U20" i="7"/>
  <c r="X21" i="7"/>
  <c r="X24" i="7"/>
  <c r="R26" i="7"/>
  <c r="U29" i="7"/>
  <c r="R36" i="7"/>
  <c r="AA42" i="7"/>
  <c r="AG39" i="7"/>
  <c r="X44" i="7"/>
  <c r="X48" i="7"/>
  <c r="X52" i="7"/>
  <c r="U19" i="7"/>
  <c r="R57" i="7"/>
  <c r="U57" i="7" s="1"/>
  <c r="X57" i="7" s="1"/>
  <c r="AA57" i="7" s="1"/>
  <c r="AA10" i="7" l="1"/>
  <c r="AD10" i="7" s="1"/>
  <c r="AG10" i="7" s="1"/>
  <c r="AJ10" i="7" s="1"/>
  <c r="G55" i="7"/>
  <c r="X55" i="7"/>
  <c r="X31" i="7"/>
  <c r="AA31" i="7" s="1"/>
  <c r="AD31" i="7" s="1"/>
  <c r="U53" i="7"/>
  <c r="AA41" i="7"/>
  <c r="AD41" i="7" s="1"/>
  <c r="X5" i="7"/>
  <c r="AA5" i="7" s="1"/>
  <c r="X17" i="7"/>
  <c r="AA17" i="7" s="1"/>
  <c r="X13" i="7"/>
  <c r="AA13" i="7" s="1"/>
  <c r="AA55" i="7"/>
  <c r="X11" i="7"/>
  <c r="AD56" i="7"/>
  <c r="AG56" i="7" s="1"/>
  <c r="G19" i="7"/>
  <c r="X19" i="7"/>
  <c r="U26" i="7"/>
  <c r="G26" i="7" s="1"/>
  <c r="G50" i="7"/>
  <c r="G44" i="7"/>
  <c r="U28" i="7"/>
  <c r="G9" i="7"/>
  <c r="AD9" i="7"/>
  <c r="G43" i="7"/>
  <c r="X43" i="7"/>
  <c r="G35" i="7"/>
  <c r="X35" i="7"/>
  <c r="G15" i="7"/>
  <c r="AD42" i="7"/>
  <c r="AG42" i="7" s="1"/>
  <c r="U38" i="7"/>
  <c r="U32" i="7"/>
  <c r="X32" i="7" s="1"/>
  <c r="G25" i="7"/>
  <c r="X25" i="7"/>
  <c r="U22" i="7"/>
  <c r="AD8" i="7"/>
  <c r="AA44" i="7"/>
  <c r="AD44" i="7" s="1"/>
  <c r="AA24" i="7"/>
  <c r="U6" i="7"/>
  <c r="G6" i="7" s="1"/>
  <c r="AD24" i="7"/>
  <c r="X16" i="7"/>
  <c r="AG8" i="7"/>
  <c r="AA16" i="7"/>
  <c r="AA51" i="7"/>
  <c r="AA47" i="7"/>
  <c r="AD47" i="7" s="1"/>
  <c r="AA52" i="7"/>
  <c r="AA48" i="7"/>
  <c r="X28" i="7"/>
  <c r="X15" i="7"/>
  <c r="AJ40" i="7"/>
  <c r="AM40" i="7" s="1"/>
  <c r="AP40" i="7" s="1"/>
  <c r="U36" i="7"/>
  <c r="G29" i="7"/>
  <c r="X29" i="7"/>
  <c r="AA29" i="7" s="1"/>
  <c r="G20" i="7"/>
  <c r="X20" i="7"/>
  <c r="AD7" i="7"/>
  <c r="AG7" i="7" s="1"/>
  <c r="AJ7" i="7" s="1"/>
  <c r="G46" i="7"/>
  <c r="U34" i="7"/>
  <c r="X34" i="7" s="1"/>
  <c r="G23" i="7"/>
  <c r="X23" i="7"/>
  <c r="AA23" i="7" s="1"/>
  <c r="U54" i="7"/>
  <c r="G37" i="7"/>
  <c r="X37" i="7"/>
  <c r="G33" i="7"/>
  <c r="X33" i="7"/>
  <c r="AA33" i="7" s="1"/>
  <c r="U45" i="7"/>
  <c r="U30" i="7"/>
  <c r="G10" i="7"/>
  <c r="G12" i="7"/>
  <c r="X12" i="7"/>
  <c r="AD27" i="7"/>
  <c r="AG24" i="7"/>
  <c r="AD18" i="7"/>
  <c r="AD17" i="7"/>
  <c r="AA11" i="7"/>
  <c r="AA19" i="7"/>
  <c r="X54" i="7"/>
  <c r="X50" i="7"/>
  <c r="X46" i="7"/>
  <c r="AD51" i="7"/>
  <c r="AD49" i="7"/>
  <c r="U14" i="7"/>
  <c r="G14" i="7" s="1"/>
  <c r="AA21" i="7"/>
  <c r="AA35" i="7"/>
  <c r="AJ39" i="7"/>
  <c r="AD57" i="7"/>
  <c r="AG5" i="7" l="1"/>
  <c r="AJ5" i="7" s="1"/>
  <c r="AD5" i="7"/>
  <c r="AJ41" i="7"/>
  <c r="AM41" i="7" s="1"/>
  <c r="AG41" i="7"/>
  <c r="AG31" i="7"/>
  <c r="AJ31" i="7" s="1"/>
  <c r="G53" i="7"/>
  <c r="X53" i="7"/>
  <c r="X26" i="7"/>
  <c r="AD55" i="7"/>
  <c r="AG55" i="7" s="1"/>
  <c r="AJ55" i="7" s="1"/>
  <c r="AD13" i="7"/>
  <c r="AG13" i="7" s="1"/>
  <c r="AJ13" i="7" s="1"/>
  <c r="AS40" i="7"/>
  <c r="AV40" i="7" s="1"/>
  <c r="AY40" i="7" s="1"/>
  <c r="AA12" i="7"/>
  <c r="G30" i="7"/>
  <c r="G45" i="7"/>
  <c r="G54" i="7"/>
  <c r="G36" i="7"/>
  <c r="AG47" i="7"/>
  <c r="AD16" i="7"/>
  <c r="AJ8" i="7"/>
  <c r="G22" i="7"/>
  <c r="G32" i="7"/>
  <c r="AA32" i="7"/>
  <c r="AD32" i="7" s="1"/>
  <c r="AG32" i="7" s="1"/>
  <c r="AJ42" i="7"/>
  <c r="AD35" i="7"/>
  <c r="AG35" i="7" s="1"/>
  <c r="AJ35" i="7" s="1"/>
  <c r="AA43" i="7"/>
  <c r="AD43" i="7" s="1"/>
  <c r="AD29" i="7"/>
  <c r="X30" i="7"/>
  <c r="AM7" i="7"/>
  <c r="AA20" i="7"/>
  <c r="AD20" i="7" s="1"/>
  <c r="AJ24" i="7"/>
  <c r="AG17" i="7"/>
  <c r="AG18" i="7"/>
  <c r="AD21" i="7"/>
  <c r="AG27" i="7"/>
  <c r="X36" i="7"/>
  <c r="X22" i="7"/>
  <c r="X38" i="7"/>
  <c r="AG9" i="7"/>
  <c r="AG44" i="7"/>
  <c r="AJ47" i="7"/>
  <c r="X6" i="7"/>
  <c r="AA6" i="7" s="1"/>
  <c r="AD48" i="7"/>
  <c r="AG48" i="7" s="1"/>
  <c r="AG49" i="7"/>
  <c r="AJ56" i="7"/>
  <c r="AD33" i="7"/>
  <c r="AD23" i="7"/>
  <c r="G34" i="7"/>
  <c r="AA34" i="7"/>
  <c r="AD34" i="7" s="1"/>
  <c r="AA15" i="7"/>
  <c r="AG51" i="7"/>
  <c r="AJ51" i="7" s="1"/>
  <c r="G38" i="7"/>
  <c r="AA38" i="7"/>
  <c r="AD38" i="7" s="1"/>
  <c r="G28" i="7"/>
  <c r="AA28" i="7"/>
  <c r="AD28" i="7" s="1"/>
  <c r="AM39" i="7"/>
  <c r="AP39" i="7" s="1"/>
  <c r="AD19" i="7"/>
  <c r="AM13" i="7"/>
  <c r="X45" i="7"/>
  <c r="AA54" i="7"/>
  <c r="AG19" i="7"/>
  <c r="AG21" i="7"/>
  <c r="AJ21" i="7" s="1"/>
  <c r="AM10" i="7"/>
  <c r="AP10" i="7" s="1"/>
  <c r="AD11" i="7"/>
  <c r="AA46" i="7"/>
  <c r="AA50" i="7"/>
  <c r="AA26" i="7"/>
  <c r="AA36" i="7"/>
  <c r="AD36" i="7" s="1"/>
  <c r="AA25" i="7"/>
  <c r="AD15" i="7"/>
  <c r="X14" i="7"/>
  <c r="AJ49" i="7"/>
  <c r="AM49" i="7" s="1"/>
  <c r="AP49" i="7" s="1"/>
  <c r="AS49" i="7" s="1"/>
  <c r="AV49" i="7" s="1"/>
  <c r="AY49" i="7" s="1"/>
  <c r="AD52" i="7"/>
  <c r="AA37" i="7"/>
  <c r="AG57" i="7"/>
  <c r="AG28" i="7" l="1"/>
  <c r="AJ28" i="7" s="1"/>
  <c r="AA53" i="7"/>
  <c r="AD53" i="7" s="1"/>
  <c r="AS10" i="7"/>
  <c r="AV10" i="7" s="1"/>
  <c r="AY10" i="7" s="1"/>
  <c r="AM35" i="7"/>
  <c r="AP35" i="7" s="1"/>
  <c r="AS35" i="7" s="1"/>
  <c r="AV35" i="7" s="1"/>
  <c r="AY35" i="7" s="1"/>
  <c r="AM51" i="7"/>
  <c r="AP51" i="7" s="1"/>
  <c r="AS51" i="7" s="1"/>
  <c r="AV51" i="7" s="1"/>
  <c r="AY51" i="7" s="1"/>
  <c r="BB49" i="7"/>
  <c r="BE49" i="7" s="1"/>
  <c r="BH49" i="7" s="1"/>
  <c r="CE49" i="7"/>
  <c r="CE40" i="7"/>
  <c r="BE40" i="7"/>
  <c r="BB40" i="7"/>
  <c r="BW40" i="7"/>
  <c r="BZ40" i="7" s="1"/>
  <c r="CC40" i="7"/>
  <c r="AP41" i="7"/>
  <c r="AS41" i="7" s="1"/>
  <c r="AV41" i="7" s="1"/>
  <c r="AY41" i="7" s="1"/>
  <c r="AG15" i="7"/>
  <c r="AM31" i="7"/>
  <c r="AP31" i="7" s="1"/>
  <c r="AJ44" i="7"/>
  <c r="AM44" i="7" s="1"/>
  <c r="AP44" i="7" s="1"/>
  <c r="AS44" i="7" s="1"/>
  <c r="AV44" i="7" s="1"/>
  <c r="AY44" i="7" s="1"/>
  <c r="CE44" i="7" s="1"/>
  <c r="AJ9" i="7"/>
  <c r="AM9" i="7" s="1"/>
  <c r="AP9" i="7" s="1"/>
  <c r="AS9" i="7" s="1"/>
  <c r="AV9" i="7" s="1"/>
  <c r="AY9" i="7" s="1"/>
  <c r="CE9" i="7" s="1"/>
  <c r="AJ27" i="7"/>
  <c r="AM27" i="7" s="1"/>
  <c r="AP27" i="7" s="1"/>
  <c r="AS27" i="7" s="1"/>
  <c r="AV27" i="7" s="1"/>
  <c r="AY27" i="7" s="1"/>
  <c r="AA14" i="7"/>
  <c r="AD14" i="7" s="1"/>
  <c r="AG14" i="7" s="1"/>
  <c r="AJ14" i="7" s="1"/>
  <c r="AM14" i="7" s="1"/>
  <c r="AP14" i="7" s="1"/>
  <c r="AS14" i="7" s="1"/>
  <c r="AD25" i="7"/>
  <c r="AG25" i="7" s="1"/>
  <c r="AJ25" i="7" s="1"/>
  <c r="AM25" i="7" s="1"/>
  <c r="AP25" i="7" s="1"/>
  <c r="AS25" i="7" s="1"/>
  <c r="AV25" i="7" s="1"/>
  <c r="AY25" i="7" s="1"/>
  <c r="AD46" i="7"/>
  <c r="AJ19" i="7"/>
  <c r="AG52" i="7"/>
  <c r="AJ52" i="7" s="1"/>
  <c r="AM52" i="7" s="1"/>
  <c r="AP52" i="7" s="1"/>
  <c r="AS52" i="7" s="1"/>
  <c r="AV52" i="7" s="1"/>
  <c r="AY52" i="7" s="1"/>
  <c r="CC49" i="7"/>
  <c r="AG36" i="7"/>
  <c r="AJ36" i="7"/>
  <c r="AM36" i="7" s="1"/>
  <c r="AP36" i="7" s="1"/>
  <c r="AG46" i="7"/>
  <c r="AJ46" i="7" s="1"/>
  <c r="AM46" i="7" s="1"/>
  <c r="AP46" i="7" s="1"/>
  <c r="AS46" i="7" s="1"/>
  <c r="AV46" i="7" s="1"/>
  <c r="AY46" i="7" s="1"/>
  <c r="AG34" i="7"/>
  <c r="AD50" i="7"/>
  <c r="AS39" i="7"/>
  <c r="AP7" i="7"/>
  <c r="AS7" i="7" s="1"/>
  <c r="AV7" i="7" s="1"/>
  <c r="AY7" i="7" s="1"/>
  <c r="CE7" i="7" s="1"/>
  <c r="AD26" i="7"/>
  <c r="AM56" i="7"/>
  <c r="AJ48" i="7"/>
  <c r="AM48" i="7" s="1"/>
  <c r="AP48" i="7" s="1"/>
  <c r="AS48" i="7" s="1"/>
  <c r="AV48" i="7" s="1"/>
  <c r="AY48" i="7" s="1"/>
  <c r="AD6" i="7"/>
  <c r="AG6" i="7" s="1"/>
  <c r="AJ6" i="7" s="1"/>
  <c r="AM6" i="7" s="1"/>
  <c r="AP6" i="7" s="1"/>
  <c r="AS6" i="7" s="1"/>
  <c r="AV6" i="7" s="1"/>
  <c r="AY6" i="7" s="1"/>
  <c r="AM24" i="7"/>
  <c r="AP24" i="7" s="1"/>
  <c r="AG29" i="7"/>
  <c r="AG43" i="7"/>
  <c r="AM42" i="7"/>
  <c r="AM8" i="7"/>
  <c r="AP8" i="7" s="1"/>
  <c r="AS8" i="7" s="1"/>
  <c r="AV8" i="7" s="1"/>
  <c r="AY8" i="7" s="1"/>
  <c r="AG16" i="7"/>
  <c r="AJ16" i="7" s="1"/>
  <c r="AM16" i="7" s="1"/>
  <c r="AP16" i="7" s="1"/>
  <c r="AS16" i="7" s="1"/>
  <c r="AV16" i="7" s="1"/>
  <c r="AY16" i="7" s="1"/>
  <c r="AG11" i="7"/>
  <c r="AJ11" i="7" s="1"/>
  <c r="AM11" i="7" s="1"/>
  <c r="AP11" i="7" s="1"/>
  <c r="AS11" i="7" s="1"/>
  <c r="AV11" i="7" s="1"/>
  <c r="AY11" i="7" s="1"/>
  <c r="AM5" i="7"/>
  <c r="AJ15" i="7"/>
  <c r="AD37" i="7"/>
  <c r="AG37" i="7" s="1"/>
  <c r="AJ37" i="7" s="1"/>
  <c r="AM37" i="7" s="1"/>
  <c r="AP37" i="7" s="1"/>
  <c r="AS37" i="7" s="1"/>
  <c r="AG33" i="7"/>
  <c r="AJ33" i="7" s="1"/>
  <c r="AM33" i="7" s="1"/>
  <c r="AP33" i="7" s="1"/>
  <c r="BK49" i="7"/>
  <c r="BN49" i="7" s="1"/>
  <c r="BQ49" i="7" s="1"/>
  <c r="BT49" i="7" s="1"/>
  <c r="BW49" i="7" s="1"/>
  <c r="BZ49" i="7" s="1"/>
  <c r="AG50" i="7"/>
  <c r="AJ50" i="7" s="1"/>
  <c r="AM50" i="7" s="1"/>
  <c r="AP50" i="7" s="1"/>
  <c r="AS50" i="7" s="1"/>
  <c r="AV50" i="7" s="1"/>
  <c r="AY50" i="7" s="1"/>
  <c r="CE50" i="7" s="1"/>
  <c r="AG38" i="7"/>
  <c r="AJ17" i="7"/>
  <c r="AM21" i="7"/>
  <c r="AP21" i="7" s="1"/>
  <c r="AS21" i="7" s="1"/>
  <c r="AG23" i="7"/>
  <c r="AJ32" i="7"/>
  <c r="AA22" i="7"/>
  <c r="AM47" i="7"/>
  <c r="AM55" i="7"/>
  <c r="AP55" i="7" s="1"/>
  <c r="AS55" i="7" s="1"/>
  <c r="AV55" i="7" s="1"/>
  <c r="AY55" i="7" s="1"/>
  <c r="CE55" i="7" s="1"/>
  <c r="BH40" i="7"/>
  <c r="BK40" i="7" s="1"/>
  <c r="BN40" i="7" s="1"/>
  <c r="BQ40" i="7" s="1"/>
  <c r="BT40" i="7" s="1"/>
  <c r="AG20" i="7"/>
  <c r="AJ20" i="7" s="1"/>
  <c r="AM20" i="7" s="1"/>
  <c r="AP20" i="7" s="1"/>
  <c r="AS20" i="7" s="1"/>
  <c r="AD54" i="7"/>
  <c r="AA45" i="7"/>
  <c r="AA30" i="7"/>
  <c r="AD30" i="7" s="1"/>
  <c r="AD12" i="7"/>
  <c r="AJ18" i="7"/>
  <c r="AM18" i="7" s="1"/>
  <c r="AP18" i="7" s="1"/>
  <c r="AS18" i="7" s="1"/>
  <c r="AV18" i="7" s="1"/>
  <c r="AY18" i="7" s="1"/>
  <c r="AV39" i="7"/>
  <c r="AY39" i="7" s="1"/>
  <c r="AP13" i="7"/>
  <c r="AS13" i="7" s="1"/>
  <c r="AV13" i="7" s="1"/>
  <c r="AY13" i="7" s="1"/>
  <c r="AJ57" i="7"/>
  <c r="AP28" i="7" l="1"/>
  <c r="AS28" i="7" s="1"/>
  <c r="AV28" i="7" s="1"/>
  <c r="AY28" i="7" s="1"/>
  <c r="AM28" i="7"/>
  <c r="AJ53" i="7"/>
  <c r="AM53" i="7" s="1"/>
  <c r="AP53" i="7" s="1"/>
  <c r="AS53" i="7" s="1"/>
  <c r="AV53" i="7" s="1"/>
  <c r="AY53" i="7" s="1"/>
  <c r="CE53" i="7" s="1"/>
  <c r="AG53" i="7"/>
  <c r="AV21" i="7"/>
  <c r="BB10" i="7"/>
  <c r="BE10" i="7"/>
  <c r="BH10" i="7" s="1"/>
  <c r="CC10" i="7"/>
  <c r="AV14" i="7"/>
  <c r="AY14" i="7" s="1"/>
  <c r="CE10" i="7"/>
  <c r="BK10" i="7"/>
  <c r="BN10" i="7" s="1"/>
  <c r="BQ10" i="7" s="1"/>
  <c r="BT10" i="7" s="1"/>
  <c r="BW10" i="7" s="1"/>
  <c r="BZ10" i="7" s="1"/>
  <c r="AS31" i="7"/>
  <c r="AV31" i="7" s="1"/>
  <c r="AY31" i="7" s="1"/>
  <c r="AS24" i="7"/>
  <c r="AV24" i="7" s="1"/>
  <c r="AY24" i="7" s="1"/>
  <c r="CE18" i="7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16" i="7"/>
  <c r="BB16" i="7"/>
  <c r="BE16" i="7" s="1"/>
  <c r="BH16" i="7" s="1"/>
  <c r="BK16" i="7" s="1"/>
  <c r="CE8" i="7"/>
  <c r="BB8" i="7"/>
  <c r="BE8" i="7" s="1"/>
  <c r="BH8" i="7" s="1"/>
  <c r="BK8" i="7" s="1"/>
  <c r="BN8" i="7" s="1"/>
  <c r="BQ8" i="7" s="1"/>
  <c r="CE48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BB25" i="7"/>
  <c r="BE25" i="7" s="1"/>
  <c r="BH25" i="7" s="1"/>
  <c r="BK25" i="7" s="1"/>
  <c r="BN25" i="7" s="1"/>
  <c r="BQ25" i="7" s="1"/>
  <c r="CE2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35" i="7"/>
  <c r="CC9" i="7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AP56" i="7"/>
  <c r="AS56" i="7" s="1"/>
  <c r="AG26" i="7"/>
  <c r="AJ26" i="7" s="1"/>
  <c r="AM26" i="7" s="1"/>
  <c r="AP26" i="7" s="1"/>
  <c r="AM19" i="7"/>
  <c r="AP19" i="7" s="1"/>
  <c r="AS19" i="7" s="1"/>
  <c r="AV19" i="7" s="1"/>
  <c r="AY19" i="7" s="1"/>
  <c r="BZ44" i="7"/>
  <c r="CC44" i="7" s="1"/>
  <c r="BB44" i="7"/>
  <c r="BE44" i="7" s="1"/>
  <c r="BH44" i="7" s="1"/>
  <c r="BK44" i="7" s="1"/>
  <c r="BN44" i="7" s="1"/>
  <c r="BQ44" i="7" s="1"/>
  <c r="BT44" i="7" s="1"/>
  <c r="BW44" i="7" s="1"/>
  <c r="AV20" i="7"/>
  <c r="AY20" i="7" s="1"/>
  <c r="AY21" i="7"/>
  <c r="BN21" i="7" s="1"/>
  <c r="BQ21" i="7" s="1"/>
  <c r="BT21" i="7" s="1"/>
  <c r="BW21" i="7" s="1"/>
  <c r="BZ21" i="7" s="1"/>
  <c r="CC21" i="7" s="1"/>
  <c r="AV37" i="7"/>
  <c r="AY37" i="7" s="1"/>
  <c r="AJ34" i="7"/>
  <c r="AM34" i="7" s="1"/>
  <c r="AP34" i="7" s="1"/>
  <c r="AS34" i="7" s="1"/>
  <c r="AV34" i="7" s="1"/>
  <c r="AY34" i="7" s="1"/>
  <c r="CE34" i="7" s="1"/>
  <c r="BB9" i="7"/>
  <c r="BE9" i="7" s="1"/>
  <c r="BH9" i="7" s="1"/>
  <c r="BK9" i="7" s="1"/>
  <c r="BN9" i="7" s="1"/>
  <c r="BQ9" i="7" s="1"/>
  <c r="BT9" i="7" s="1"/>
  <c r="BW9" i="7" s="1"/>
  <c r="BZ9" i="7" s="1"/>
  <c r="BT25" i="7"/>
  <c r="BW25" i="7" s="1"/>
  <c r="BZ25" i="7" s="1"/>
  <c r="CC25" i="7" s="1"/>
  <c r="AG12" i="7"/>
  <c r="AJ12" i="7" s="1"/>
  <c r="AM12" i="7" s="1"/>
  <c r="AP12" i="7" s="1"/>
  <c r="AS12" i="7" s="1"/>
  <c r="AG30" i="7"/>
  <c r="AJ30" i="7" s="1"/>
  <c r="AM30" i="7" s="1"/>
  <c r="AP30" i="7" s="1"/>
  <c r="AG54" i="7"/>
  <c r="AJ23" i="7"/>
  <c r="AM23" i="7" s="1"/>
  <c r="AP23" i="7" s="1"/>
  <c r="AS23" i="7" s="1"/>
  <c r="AV23" i="7" s="1"/>
  <c r="AY23" i="7" s="1"/>
  <c r="AJ38" i="7"/>
  <c r="AM38" i="7" s="1"/>
  <c r="AP38" i="7" s="1"/>
  <c r="AS38" i="7" s="1"/>
  <c r="AS33" i="7"/>
  <c r="AV33" i="7" s="1"/>
  <c r="AY33" i="7" s="1"/>
  <c r="BZ8" i="7"/>
  <c r="CC8" i="7" s="1"/>
  <c r="BT8" i="7"/>
  <c r="BW8" i="7" s="1"/>
  <c r="AJ29" i="7"/>
  <c r="AM29" i="7" s="1"/>
  <c r="AP29" i="7" s="1"/>
  <c r="AS29" i="7" s="1"/>
  <c r="AV29" i="7" s="1"/>
  <c r="AY29" i="7" s="1"/>
  <c r="AD45" i="7"/>
  <c r="AG45" i="7" s="1"/>
  <c r="AJ45" i="7" s="1"/>
  <c r="AM45" i="7" s="1"/>
  <c r="AP45" i="7" s="1"/>
  <c r="AS45" i="7" s="1"/>
  <c r="AV45" i="7" s="1"/>
  <c r="AY45" i="7" s="1"/>
  <c r="BB55" i="7"/>
  <c r="BE55" i="7" s="1"/>
  <c r="BH55" i="7" s="1"/>
  <c r="AP47" i="7"/>
  <c r="AS47" i="7" s="1"/>
  <c r="AV47" i="7" s="1"/>
  <c r="AY47" i="7" s="1"/>
  <c r="AD22" i="7"/>
  <c r="AG22" i="7" s="1"/>
  <c r="AJ22" i="7" s="1"/>
  <c r="AM22" i="7" s="1"/>
  <c r="AP22" i="7" s="1"/>
  <c r="AS22" i="7" s="1"/>
  <c r="AV22" i="7" s="1"/>
  <c r="AY22" i="7" s="1"/>
  <c r="BN16" i="7"/>
  <c r="BQ16" i="7" s="1"/>
  <c r="BT16" i="7" s="1"/>
  <c r="BW16" i="7" s="1"/>
  <c r="BZ16" i="7" s="1"/>
  <c r="CC16" i="7" s="1"/>
  <c r="AM32" i="7"/>
  <c r="AP32" i="7" s="1"/>
  <c r="AS32" i="7" s="1"/>
  <c r="AV32" i="7" s="1"/>
  <c r="AY32" i="7" s="1"/>
  <c r="AP42" i="7"/>
  <c r="AS42" i="7" s="1"/>
  <c r="AV42" i="7" s="1"/>
  <c r="AY42" i="7" s="1"/>
  <c r="CE42" i="7" s="1"/>
  <c r="AJ43" i="7"/>
  <c r="AS36" i="7"/>
  <c r="AV36" i="7" s="1"/>
  <c r="AY36" i="7" s="1"/>
  <c r="CE36" i="7" s="1"/>
  <c r="BH37" i="7"/>
  <c r="BK37" i="7" s="1"/>
  <c r="BN37" i="7" s="1"/>
  <c r="BQ37" i="7" s="1"/>
  <c r="BT37" i="7" s="1"/>
  <c r="BW37" i="7"/>
  <c r="BZ37" i="7" s="1"/>
  <c r="CC37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M15" i="7"/>
  <c r="AP15" i="7" s="1"/>
  <c r="AS15" i="7" s="1"/>
  <c r="AV15" i="7" s="1"/>
  <c r="AY15" i="7" s="1"/>
  <c r="AP5" i="7"/>
  <c r="AS5" i="7" s="1"/>
  <c r="AV5" i="7" s="1"/>
  <c r="AY5" i="7" s="1"/>
  <c r="CE5" i="7" s="1"/>
  <c r="BK55" i="7"/>
  <c r="BN55" i="7" s="1"/>
  <c r="BQ55" i="7" s="1"/>
  <c r="BT55" i="7" s="1"/>
  <c r="BW55" i="7" s="1"/>
  <c r="BZ55" i="7" s="1"/>
  <c r="CC55" i="7" s="1"/>
  <c r="AM17" i="7"/>
  <c r="AP17" i="7" s="1"/>
  <c r="AS17" i="7" s="1"/>
  <c r="AV17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57" i="7"/>
  <c r="BB14" i="7" l="1"/>
  <c r="BE14" i="7" s="1"/>
  <c r="BH14" i="7" s="1"/>
  <c r="BK14" i="7" s="1"/>
  <c r="BN14" i="7" s="1"/>
  <c r="BQ14" i="7" s="1"/>
  <c r="BT14" i="7" s="1"/>
  <c r="BW14" i="7" s="1"/>
  <c r="BZ14" i="7" s="1"/>
  <c r="CC14" i="7" s="1"/>
  <c r="CE24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BB42" i="7"/>
  <c r="BE42" i="7" s="1"/>
  <c r="BH42" i="7" s="1"/>
  <c r="BK42" i="7" s="1"/>
  <c r="BN42" i="7" s="1"/>
  <c r="BQ42" i="7" s="1"/>
  <c r="BZ42" i="7"/>
  <c r="CC42" i="7" s="1"/>
  <c r="BT42" i="7"/>
  <c r="BW42" i="7" s="1"/>
  <c r="AV12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V56" i="7"/>
  <c r="CE14" i="7"/>
  <c r="BN33" i="7"/>
  <c r="BQ33" i="7" s="1"/>
  <c r="BT33" i="7" s="1"/>
  <c r="BW33" i="7" s="1"/>
  <c r="BZ33" i="7" s="1"/>
  <c r="CC33" i="7" s="1"/>
  <c r="BE33" i="7"/>
  <c r="BH33" i="7" s="1"/>
  <c r="BK33" i="7" s="1"/>
  <c r="AV38" i="7"/>
  <c r="AY38" i="7" s="1"/>
  <c r="AS30" i="7"/>
  <c r="AV30" i="7" s="1"/>
  <c r="BN36" i="7"/>
  <c r="BQ36" i="7" s="1"/>
  <c r="BT36" i="7" s="1"/>
  <c r="BW36" i="7" s="1"/>
  <c r="BZ36" i="7" s="1"/>
  <c r="CC36" i="7" s="1"/>
  <c r="BQ19" i="7"/>
  <c r="BT19" i="7" s="1"/>
  <c r="BW19" i="7" s="1"/>
  <c r="BZ19" i="7" s="1"/>
  <c r="CC19" i="7" s="1"/>
  <c r="AS26" i="7"/>
  <c r="AV26" i="7" s="1"/>
  <c r="AY26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33" i="7"/>
  <c r="BB33" i="7"/>
  <c r="CE21" i="7"/>
  <c r="BB21" i="7"/>
  <c r="BE21" i="7" s="1"/>
  <c r="BH21" i="7" s="1"/>
  <c r="BK21" i="7" s="1"/>
  <c r="CE19" i="7"/>
  <c r="BB19" i="7"/>
  <c r="BE19" i="7" s="1"/>
  <c r="BH19" i="7" s="1"/>
  <c r="BK19" i="7" s="1"/>
  <c r="BN19" i="7" s="1"/>
  <c r="AY17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36" i="7"/>
  <c r="BE36" i="7" s="1"/>
  <c r="BH36" i="7" s="1"/>
  <c r="BK36" i="7" s="1"/>
  <c r="AJ54" i="7"/>
  <c r="AM54" i="7" s="1"/>
  <c r="AP54" i="7" s="1"/>
  <c r="AS54" i="7" s="1"/>
  <c r="AV54" i="7" s="1"/>
  <c r="AY54" i="7" s="1"/>
  <c r="CE37" i="7"/>
  <c r="BB37" i="7"/>
  <c r="BE37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AM43" i="7"/>
  <c r="AP43" i="7" s="1"/>
  <c r="AS43" i="7" s="1"/>
  <c r="AV43" i="7" s="1"/>
  <c r="AY43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57" i="7"/>
  <c r="AS57" i="7" s="1"/>
  <c r="AV57" i="7" s="1"/>
  <c r="CE38" i="7" l="1"/>
  <c r="AY30" i="7"/>
  <c r="CE30" i="7" s="1"/>
  <c r="CE26" i="7"/>
  <c r="AY12" i="7"/>
  <c r="BQ12" i="7" s="1"/>
  <c r="BT12" i="7" s="1"/>
  <c r="BW12" i="7" s="1"/>
  <c r="BZ12" i="7" s="1"/>
  <c r="AY56" i="7"/>
  <c r="BB56" i="7" s="1"/>
  <c r="BE56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7" i="7"/>
  <c r="AY57" i="7"/>
  <c r="BT57" i="7" s="1"/>
  <c r="BW57" i="7" s="1"/>
  <c r="BZ57" i="7" s="1"/>
  <c r="CC57" i="7" s="1"/>
  <c r="BB30" i="7" l="1"/>
  <c r="BE30" i="7" s="1"/>
  <c r="BH30" i="7" s="1"/>
  <c r="BK30" i="7" s="1"/>
  <c r="BN30" i="7" s="1"/>
  <c r="BQ30" i="7" s="1"/>
  <c r="BT30" i="7" s="1"/>
  <c r="BW30" i="7" s="1"/>
  <c r="BZ30" i="7" s="1"/>
  <c r="CC30" i="7" s="1"/>
  <c r="BH56" i="7"/>
  <c r="BK56" i="7" s="1"/>
  <c r="CE56" i="7"/>
  <c r="BN56" i="7"/>
  <c r="BQ56" i="7" s="1"/>
  <c r="BT56" i="7" s="1"/>
  <c r="BW56" i="7" s="1"/>
  <c r="BZ56" i="7" s="1"/>
  <c r="CC56" i="7" s="1"/>
  <c r="CE12" i="7"/>
  <c r="BK12" i="7"/>
  <c r="BN12" i="7" s="1"/>
  <c r="BB12" i="7"/>
  <c r="BE12" i="7"/>
  <c r="BH12" i="7" s="1"/>
  <c r="CC12" i="7"/>
  <c r="BB57" i="7"/>
  <c r="BE57" i="7" s="1"/>
  <c r="BH57" i="7" s="1"/>
  <c r="BK57" i="7" s="1"/>
  <c r="BN57" i="7" s="1"/>
  <c r="BQ57" i="7" s="1"/>
  <c r="CE57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9" i="7"/>
  <c r="R59" i="7" s="1"/>
  <c r="U59" i="7" s="1"/>
  <c r="X59" i="7" s="1"/>
  <c r="AA59" i="7" s="1"/>
  <c r="AD59" i="7" s="1"/>
  <c r="AG59" i="7" s="1"/>
  <c r="AJ59" i="7" s="1"/>
  <c r="AM59" i="7" s="1"/>
  <c r="AP59" i="7" s="1"/>
  <c r="AS59" i="7" s="1"/>
  <c r="AV59" i="7" s="1"/>
  <c r="AY59" i="7" s="1"/>
  <c r="Y63" i="7"/>
  <c r="AB63" i="7"/>
  <c r="AE63" i="7"/>
  <c r="AH63" i="7"/>
  <c r="AK63" i="7"/>
  <c r="AN63" i="7"/>
  <c r="AQ63" i="7"/>
  <c r="AT63" i="7"/>
  <c r="AW63" i="7"/>
  <c r="J63" i="7"/>
  <c r="A19" i="8"/>
  <c r="CE58" i="7"/>
  <c r="I63" i="7"/>
  <c r="M63" i="7"/>
  <c r="P63" i="7"/>
  <c r="S63" i="7"/>
  <c r="V63" i="7"/>
  <c r="AZ63" i="7"/>
  <c r="BC63" i="7"/>
  <c r="BF63" i="7"/>
  <c r="BI63" i="7"/>
  <c r="BL63" i="7"/>
  <c r="BO63" i="7"/>
  <c r="BR63" i="7"/>
  <c r="BU63" i="7"/>
  <c r="BX63" i="7"/>
  <c r="CA63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3" i="7"/>
  <c r="BD63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3" i="7"/>
  <c r="K6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3" i="7"/>
  <c r="O4" i="7"/>
  <c r="R4" i="7" s="1"/>
  <c r="BJ6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3" i="7"/>
  <c r="F31" i="8"/>
  <c r="W63" i="7"/>
  <c r="T63" i="7"/>
  <c r="F37" i="8"/>
  <c r="F35" i="8"/>
  <c r="U4" i="7"/>
  <c r="F24" i="8"/>
  <c r="F27" i="8" s="1"/>
  <c r="F28" i="8" s="1"/>
  <c r="BM63" i="7"/>
  <c r="Z6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3" i="7"/>
  <c r="G25" i="8"/>
  <c r="AC6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3" i="7"/>
  <c r="AF6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3" i="7"/>
  <c r="AI6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3" i="7"/>
  <c r="BY63" i="7"/>
  <c r="J27" i="8"/>
  <c r="J28" i="8" s="1"/>
  <c r="J25" i="8"/>
  <c r="AL63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3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3" i="7"/>
  <c r="R25" i="8"/>
  <c r="R29" i="8" s="1"/>
  <c r="R32" i="8" l="1"/>
  <c r="Q27" i="8"/>
  <c r="Q28" i="8" s="1"/>
  <c r="Q25" i="8"/>
  <c r="Q29" i="8" s="1"/>
  <c r="Q32" i="8"/>
  <c r="BH63" i="7"/>
  <c r="BK63" i="7" l="1"/>
  <c r="BN63" i="7" l="1"/>
  <c r="BQ63" i="7" l="1"/>
  <c r="BT63" i="7" l="1"/>
  <c r="BW63" i="7" l="1"/>
  <c r="BZ63" i="7" l="1"/>
  <c r="CC6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<sst xmlns="http://schemas.openxmlformats.org/spreadsheetml/2006/main" count="389" uniqueCount="177">
  <si>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</si>
  <si>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</si>
  <si>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</si>
  <si>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</si>
  <si>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</si>
  <si>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</si>
  <si>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</si>
  <si>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</si>
  <si>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</si>
  <si>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</si>
  <si>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</si>
  <si>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</si>
  <si>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</si>
  <si>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</si>
  <si>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</si>
  <si>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</si>
  <si>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</si>
  <si>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</si>
  <si>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</si>
  <si>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</si>
  <si>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</si>
  <si>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</si>
  <si>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</si>
  <si>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</si>
  <si>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</si>
  <si>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</si>
  <si>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</si>
  <si>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</si>
  <si>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</si>
  <si>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</si>
  <si>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</si>
  <si>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</si>
  <si>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</si>
  <si>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</si>
  <si>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</si>
  <si>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</si>
  <si>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</si>
  <si>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</si>
  <si>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</si>
  <si>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</si>
  <si>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</si>
  <si>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</si>
  <si>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</si>
  <si>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</si>
  <si>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</si>
  <si>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</si>
  <si>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</si>
  <si>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</si>
  <si>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</si>
  <si>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</si>
  <si>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</si>
  <si>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</si>
  <si>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</si>
  <si>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</si>
  <si>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</si>
  <si>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</si>
  <si>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</si>
  <si>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</si>
  <si>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</si>
  <si>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</si>
  <si>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</si>
  <si>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</si>
  <si>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</si>
  <si>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</si>
  <si>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</si>
  <si>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</si>
  <si>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</si>
  <si>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</si>
  <si>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</si>
  <si>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</si>
  <si>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</si>
  <si>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</si>
  <si>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</si>
  <si>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</si>
  <si>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</si>
  <si>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</si>
  <si>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</si>
  <si>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</si>
  <si>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</si>
  <si>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</si>
  <si>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</si>
  <si>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</si>
  <si>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</si>
  <si>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</si>
  <si>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</si>
  <si>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</si>
  <si>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</si>
  <si>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</si>
  <si>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</si>
  <si>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</si>
  <si>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</si>
  <si>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</si>
  <si>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</si>
  <si>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</si>
  <si>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</si>
  <si>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</si>
  <si>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</si>
  <si>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</si>
  <si>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</si>
  <si>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</si>
  <si>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</si>
  <si>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</si>
  <si>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</si>
  <si>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</si>
  <si>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</si>
  <si>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</si>
  <si>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</si>
  <si>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</si>
  <si>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</si>
  <si>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</si>
  <si>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</si>
  <si>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</si>
  <si>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</si>
  <si>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</si>
  <si>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</si>
  <si>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</si>
  <si>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</si>
  <si>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</si>
  <si>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</si>
  <si>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</si>
  <si>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</si>
  <si>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</si>
  <si>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</si>
  <si>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</si>
  <si>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</si>
  <si>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</si>
  <si>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</si>
  <si>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</si>
  <si>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</si>
  <si>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</si>
  <si>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</si>
  <si>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</si>
  <si>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</si>
  <si>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</si>
  <si>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</si>
  <si>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</si>
  <si>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</si>
  <si>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</si>
  <si>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</si>
  <si>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</si>
  <si>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</si>
  <si>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</si>
  <si>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</si>
  <si>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</si>
  <si>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</si>
  <si>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</si>
  <si>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</si>
  <si>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</si>
  <si>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</si>
  <si>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</si>
  <si>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</si>
  <si>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</si>
  <si>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</si>
  <si>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</si>
  <si>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</si>
  <si>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</si>
  <si>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</si>
  <si>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</si>
  <si>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</si>
  <si>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</si>
  <si>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</si>
  <si>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</si>
  <si>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</si>
  <si>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</si>
  <si>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</si>
  <si>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</si>
  <si>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=(ИНДЕКС(Burndown;СТРОКА(G8)-СТРОКА(G$3);МИН(СЕГОДНЯ()-SprintStart;29)*3+3))</t>
  </si>
  <si>
    <t>=(ИНДЕКС(Burndown;СТРОКА(G4)-СТРОКА(G$3);МИН(СЕГОДНЯ()-SprintStart;29)*3+3))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</si>
  <si>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</si>
  <si>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</si>
  <si>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</si>
  <si>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</si>
  <si>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</si>
  <si>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</si>
  <si>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</si>
  <si>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</si>
  <si>
    <t>регистрация и авторизация пользователя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</si>
</sst>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55584"/>
        <c:axId val="68015744"/>
      </c:areaChart>
      <c:catAx>
        <c:axId val="109955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6801574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801574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995558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51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48352"/>
        <c:axId val="11016601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51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48352"/>
        <c:axId val="110166016"/>
      </c:lineChart>
      <c:catAx>
        <c:axId val="110948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11016601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01660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1094835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604672"/>
        <c:axId val="110169472"/>
      </c:barChart>
      <c:catAx>
        <c:axId val="112604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0169472"/>
        <c:crosses val="autoZero"/>
        <c:auto val="1"/>
        <c:lblAlgn val="ctr"/>
        <c:lblOffset val="100"/>
        <c:noMultiLvlLbl val="0"/>
      </c:catAx>
      <c:valAx>
        <c:axId val="1101694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2604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606720"/>
        <c:axId val="110171776"/>
      </c:barChart>
      <c:catAx>
        <c:axId val="11260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10171776"/>
        <c:crosses val="autoZero"/>
        <c:auto val="1"/>
        <c:lblAlgn val="ctr"/>
        <c:lblOffset val="100"/>
        <c:noMultiLvlLbl val="0"/>
      </c:catAx>
      <c:valAx>
        <c:axId val="110171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2606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51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606208"/>
        <c:axId val="113303552"/>
      </c:barChart>
      <c:catAx>
        <c:axId val="112606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13303552"/>
        <c:crosses val="autoZero"/>
        <c:auto val="1"/>
        <c:lblAlgn val="ctr"/>
        <c:lblOffset val="100"/>
        <c:noMultiLvlLbl val="0"/>
      </c:catAx>
      <c:valAx>
        <c:axId val="1133035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2606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7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F8" sqref="F8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27.285156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">
        <v>167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IF(SUMPRODUCT($J$60:K$60,$J4:K4)&lt;0.5,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IF(SUMPRODUCT($J$60:N$60,$J4:N4)&lt;0.5,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IF(SUMPRODUCT($J$60:Q$60,$J4:Q4)&lt;0.5,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IF(SUMPRODUCT($J$60:T$60,$J4:T4)&lt;0.5,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IF(SUMPRODUCT($J$60:W$60,$J4:W4)&lt;0.5,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IF(SUMPRODUCT($J$60:Z$60,$J4:Z4)&lt;0.5,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IF(SUMPRODUCT($J$60:AC$60,$J4:AC4)&lt;0.5,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IF(SUMPRODUCT($J$60:AF$60,$J4:AF4)&lt;0.5,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IF(SUMPRODUCT($J$60:AI$60,$J4:AI4)&lt;0.5,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IF(SUMPRODUCT($J$60:AL$60,$J4:AL4)&lt;0.5,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IF(SUMPRODUCT($J$60:AO$60,$J4:AO4)&lt;0.5,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IF(SUMPRODUCT($J$60:AR$60,$J4:AR4)&lt;0.5,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IF(SUMPRODUCT($J$60:AU$60,$J4:AU4)&lt;0.5,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IF(SUMPRODUCT($J$60:AX$60,$J4:AX4)&lt;0.5,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IF(SUMPRODUCT($J$60:BA$60,$J4:BA4)&lt;0.5,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IF(SUMPRODUCT($J$60:BD$60,$J4:BD4)&lt;0.5,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IF(SUMPRODUCT($J$60:BG$60,$J4:BG4)&lt;0.5,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IF(SUMPRODUCT($J$60:BJ$60,$J4:BJ4)&lt;0.5,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IF(SUMPRODUCT($J$60:BM$60,$J4:BM4)&lt;0.5,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IF(SUMPRODUCT($J$60:BP$60,$J4:BP4)&lt;0.5,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IF(SUMPRODUCT($J$60:BS$60,$J4:BS4)&lt;0.5,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IF(SUMPRODUCT($J$60:BV$60,$J4:BV4)&lt;0.5,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IF(SUMPRODUCT($J$60:BY$60,$J4:BY4)&lt;0.5,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IF(SUMPRODUCT($J$60:CB$60,$J4:CB4)&lt;0.5, "Pending", IF(CB4&lt;0.5, "Complete", "In Progress"))</f>
        <v>#REF!</v>
      </c>
      <c r="CD4" s="24"/>
      <c r="CE4" s="25">
        <f>SUMPRODUCT($H$60:AY$60,$H4:AY4)</f>
        <v>0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str">
        <f t="shared" ref="G5:G57" ca="1" si="23">(INDEX(Burndown,ROW(G5)-ROW(G$3),MIN(TODAY()-SprintStart,29)*3+3))</f>
        <v>Pending</v>
      </c>
      <c r="H5" s="20">
        <v>1</v>
      </c>
      <c r="I5" s="21">
        <v>2</v>
      </c>
      <c r="J5" s="22">
        <v>0</v>
      </c>
      <c r="K5" s="22">
        <f t="shared" ref="K5:K56" si="24">MAX(I5-J5, 0)</f>
        <v>2</v>
      </c>
      <c r="L5" s="23" t="str">
        <f>IF(SUMPRODUCT($J$60:K$60,$J5:K5)&lt;0.5, "Pending", IF(K5&lt;0.5, "Complete", "In Progress"))</f>
        <v>Pending</v>
      </c>
      <c r="M5" s="22">
        <v>0</v>
      </c>
      <c r="N5" s="22">
        <f t="shared" ref="N5:N56" si="25">MAX(K5-M5,0)</f>
        <v>2</v>
      </c>
      <c r="O5" s="23" t="str">
        <f>IF(SUMPRODUCT($J$60:N$60,$J5:N5)&lt;0.5, "Pending", IF(N5&lt;0.5, "Complete", "In Progress"))</f>
        <v>Pending</v>
      </c>
      <c r="P5" s="22">
        <v>0</v>
      </c>
      <c r="Q5" s="22">
        <f t="shared" ref="Q5:Q56" si="26">MAX(N5-P5,0)</f>
        <v>2</v>
      </c>
      <c r="R5" s="23" t="str">
        <f>IF(SUMPRODUCT($J$60:Q$60,$J5:Q5)&lt;0.5, "Pending", IF(Q5&lt;0.5, "Complete", "In Progress"))</f>
        <v>Pending</v>
      </c>
      <c r="S5" s="22">
        <v>0</v>
      </c>
      <c r="T5" s="22">
        <f t="shared" ref="T5:T56" si="27">MAX(Q5-S5,0)</f>
        <v>2</v>
      </c>
      <c r="U5" s="23" t="str">
        <f>IF(SUMPRODUCT($J$60:T$60,$J5:T5)&lt;0.5, "Pending", IF(T5&lt;0.5, "Complete", "In Progress"))</f>
        <v>Pending</v>
      </c>
      <c r="V5" s="22">
        <v>0</v>
      </c>
      <c r="W5" s="22">
        <f t="shared" ref="W5:W56" si="28">MAX(T5-V5,0)</f>
        <v>2</v>
      </c>
      <c r="X5" s="23" t="str">
        <f>IF(SUMPRODUCT($J$60:W$60,$J5:W5)&lt;0.5, "Pending", IF(W5&lt;0.5, "Complete", "In Progress"))</f>
        <v>Pending</v>
      </c>
      <c r="Y5" s="22">
        <v>0</v>
      </c>
      <c r="Z5" s="22">
        <f t="shared" ref="Z5:Z56" si="29">MAX(W5-Y5,0)</f>
        <v>2</v>
      </c>
      <c r="AA5" s="23" t="str">
        <f>IF(SUMPRODUCT($J$60:Z$60,$J5:Z5)&lt;0.5, "Pending", IF(Z5&lt;0.5, "Complete", "In Progress"))</f>
        <v>Pending</v>
      </c>
      <c r="AB5" s="22">
        <v>0</v>
      </c>
      <c r="AC5" s="22">
        <f t="shared" ref="AC5:AC56" si="30">MAX(Z5-AB5,0)</f>
        <v>2</v>
      </c>
      <c r="AD5" s="23" t="str">
        <f>IF(SUMPRODUCT($J$60:AC$60,$J5:AC5)&lt;0.5, "Pending", IF(AC5&lt;0.5, "Complete", "In Progress"))</f>
        <v>Pending</v>
      </c>
      <c r="AE5" s="22">
        <v>0</v>
      </c>
      <c r="AF5" s="22">
        <f t="shared" ref="AF5:AF56" si="31">MAX(AC5-AE5,0)</f>
        <v>2</v>
      </c>
      <c r="AG5" s="23" t="str">
        <f>IF(SUMPRODUCT($J$60:AF$60,$J5:AF5)&lt;0.5, "Pending", IF(AF5&lt;0.5, "Complete", "In Progress"))</f>
        <v>Pending</v>
      </c>
      <c r="AH5" s="22">
        <v>0</v>
      </c>
      <c r="AI5" s="22">
        <f t="shared" ref="AI5:AI56" si="32">MAX(AF5-AH5,0)</f>
        <v>2</v>
      </c>
      <c r="AJ5" s="23" t="str">
        <f>IF(SUMPRODUCT($J$60:AI$60,$J5:AI5)&lt;0.5, "Pending", IF(AI5&lt;0.5, "Complete", "In Progress"))</f>
        <v>Pending</v>
      </c>
      <c r="AK5" s="22">
        <v>0</v>
      </c>
      <c r="AL5" s="22">
        <f t="shared" ref="AL5:AL56" si="33">MAX(AI5-AK5,0)</f>
        <v>2</v>
      </c>
      <c r="AM5" s="23" t="str">
        <f>IF(SUMPRODUCT($J$60:AL$60,$J5:AL5)&lt;0.5, "Pending", IF(AL5&lt;0.5, "Complete", "In Progress"))</f>
        <v>Pending</v>
      </c>
      <c r="AN5" s="22">
        <v>0</v>
      </c>
      <c r="AO5" s="22">
        <f t="shared" ref="AO5:AO56" si="34">MAX(AL5-AN5,0)</f>
        <v>2</v>
      </c>
      <c r="AP5" s="23" t="str">
        <f>IF(SUMPRODUCT($J$60:AO$60,$J5:AO5)&lt;0.5, "Pending", IF(AO5&lt;0.5, "Complete", "In Progress"))</f>
        <v>Pending</v>
      </c>
      <c r="AQ5" s="22">
        <v>0</v>
      </c>
      <c r="AR5" s="22">
        <f t="shared" ref="AR5:AR56" si="35">MAX(AO5-AQ5,0)</f>
        <v>2</v>
      </c>
      <c r="AS5" s="23" t="str">
        <f>IF(SUMPRODUCT($J$60:AR$60,$J5:AR5)&lt;0.5, "Pending", IF(AR5&lt;0.5, "Complete", "In Progress"))</f>
        <v>Pending</v>
      </c>
      <c r="AT5" s="22">
        <v>0</v>
      </c>
      <c r="AU5" s="22">
        <f t="shared" ref="AU5:AU56" si="36">MAX(AR5-AT5,0)</f>
        <v>2</v>
      </c>
      <c r="AV5" s="23" t="str">
        <f>IF(SUMPRODUCT($J$60:AU$60,$J5:AU5)&lt;0.5, "Pending", IF(AU5&lt;0.5, "Complete", "In Progress"))</f>
        <v>Pending</v>
      </c>
      <c r="AW5" s="22">
        <v>0</v>
      </c>
      <c r="AX5" s="22">
        <f t="shared" ref="AX5:AX56" si="37">MAX(AU5-AW5,0)</f>
        <v>2</v>
      </c>
      <c r="AY5" s="23" t="str">
        <f>IF(SUMPRODUCT($J$60:AX$60,$J5:AX5)&lt;0.5,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IF(SUMPRODUCT($J$60:BA$60,$J5:BA5)&lt;0.5, "Pending", IF(BA5&lt;0.5, "Complete", "In Progress"))</f>
        <v>#REF!</v>
      </c>
      <c r="BC5" s="22">
        <v>0</v>
      </c>
      <c r="BD5" s="22" t="e">
        <f t="shared" ref="BD5:BD56" si="38">MAX(BA5-BC5,0)</f>
        <v>#REF!</v>
      </c>
      <c r="BE5" s="23" t="e">
        <f>IF(SUMPRODUCT($J$60:BD$60,$J5:BD5)&lt;0.5, "Pending", IF(BD5&lt;0.5, "Complete", "In Progress"))</f>
        <v>#REF!</v>
      </c>
      <c r="BF5" s="22">
        <v>0</v>
      </c>
      <c r="BG5" s="22" t="e">
        <f t="shared" ref="BG5:BG56" si="39">MAX(BD5-BF5,0)</f>
        <v>#REF!</v>
      </c>
      <c r="BH5" s="23" t="e">
        <f>IF(SUMPRODUCT($J$60:BG$60,$J5:BG5)&lt;0.5, "Pending", IF(BG5&lt;0.5, "Complete", "In Progress"))</f>
        <v>#REF!</v>
      </c>
      <c r="BI5" s="22">
        <v>0</v>
      </c>
      <c r="BJ5" s="22" t="e">
        <f t="shared" ref="BJ5:BJ56" si="40">MAX(BG5-BI5,0)</f>
        <v>#REF!</v>
      </c>
      <c r="BK5" s="23" t="e">
        <f>IF(SUMPRODUCT($J$60:BJ$60,$J5:BJ5)&lt;0.5, "Pending", IF(BJ5&lt;0.5, "Complete", "In Progress"))</f>
        <v>#REF!</v>
      </c>
      <c r="BL5" s="22">
        <v>0</v>
      </c>
      <c r="BM5" s="22" t="e">
        <f t="shared" ref="BM5:BM56" si="41">MAX(BJ5-BL5,0)</f>
        <v>#REF!</v>
      </c>
      <c r="BN5" s="23" t="e">
        <f>IF(SUMPRODUCT($J$60:BM$60,$J5:BM5)&lt;0.5, "Pending", IF(BM5&lt;0.5, "Complete", "In Progress"))</f>
        <v>#REF!</v>
      </c>
      <c r="BO5" s="22">
        <v>0</v>
      </c>
      <c r="BP5" s="22" t="e">
        <f t="shared" ref="BP5:BP56" si="42">MAX(BM5-BO5,0)</f>
        <v>#REF!</v>
      </c>
      <c r="BQ5" s="23" t="e">
        <f>IF(SUMPRODUCT($J$60:BP$60,$J5:BP5)&lt;0.5, "Pending", IF(BP5&lt;0.5, "Complete", "In Progress"))</f>
        <v>#REF!</v>
      </c>
      <c r="BR5" s="22">
        <v>0</v>
      </c>
      <c r="BS5" s="22" t="e">
        <f t="shared" ref="BS5:BS56" si="43">MAX(BP5-BR5,0)</f>
        <v>#REF!</v>
      </c>
      <c r="BT5" s="23" t="e">
        <f>IF(SUMPRODUCT($J$60:BS$60,$J5:BS5)&lt;0.5, "Pending", IF(BS5&lt;0.5, "Complete", "In Progress"))</f>
        <v>#REF!</v>
      </c>
      <c r="BU5" s="22">
        <v>0</v>
      </c>
      <c r="BV5" s="22" t="e">
        <f t="shared" ref="BV5:BV56" si="44">MAX(BS5-BU5,0)</f>
        <v>#REF!</v>
      </c>
      <c r="BW5" s="23" t="e">
        <f>IF(SUMPRODUCT($J$60:BV$60,$J5:BV5)&lt;0.5, "Pending", IF(BV5&lt;0.5, "Complete", "In Progress"))</f>
        <v>#REF!</v>
      </c>
      <c r="BX5" s="22">
        <v>0</v>
      </c>
      <c r="BY5" s="22" t="e">
        <f t="shared" ref="BY5:BY56" si="45">MAX(BV5-BX5,0)</f>
        <v>#REF!</v>
      </c>
      <c r="BZ5" s="23" t="e">
        <f>IF(SUMPRODUCT($J$60:BY$60,$J5:BY5)&lt;0.5, "Pending", IF(BY5&lt;0.5, "Complete", "In Progress"))</f>
        <v>#REF!</v>
      </c>
      <c r="CA5" s="22">
        <v>0</v>
      </c>
      <c r="CB5" s="22" t="e">
        <f t="shared" ref="CB5:CB56" si="46">MAX(BY5-CA5,0)</f>
        <v>#REF!</v>
      </c>
      <c r="CC5" s="23" t="e">
        <f>IF(SUMPRODUCT($J$60:CB$60,$J5:CB5)&lt;0.5, "Pending", IF(CB5&lt;0.5, "Complete", "In Progress"))</f>
        <v>#REF!</v>
      </c>
      <c r="CD5" s="24"/>
      <c r="CE5" s="25">
        <f>SUMPRODUCT($H$60:AY$60,$H5:AY5)</f>
        <v>0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str">
        <f t="shared" ca="1" si="23"/>
        <v>Pending</v>
      </c>
      <c r="H6" s="20">
        <v>1</v>
      </c>
      <c r="I6" s="21">
        <v>4</v>
      </c>
      <c r="J6" s="22">
        <v>0</v>
      </c>
      <c r="K6" s="22">
        <f t="shared" si="24"/>
        <v>4</v>
      </c>
      <c r="L6" s="23" t="str">
        <f>IF(SUMPRODUCT($J$60:K$60,$J6:K6)&lt;0.5, "Pending", IF(K6&lt;0.5, "Complete", "In Progress"))</f>
        <v>Pending</v>
      </c>
      <c r="M6" s="22">
        <v>0</v>
      </c>
      <c r="N6" s="22">
        <f t="shared" si="25"/>
        <v>4</v>
      </c>
      <c r="O6" s="23" t="str">
        <f>IF(SUMPRODUCT($J$60:N$60,$J6:N6)&lt;0.5, "Pending", IF(N6&lt;0.5, "Complete", "In Progress"))</f>
        <v>Pending</v>
      </c>
      <c r="P6" s="22">
        <v>0</v>
      </c>
      <c r="Q6" s="22">
        <f t="shared" si="26"/>
        <v>4</v>
      </c>
      <c r="R6" s="23" t="str">
        <f>IF(SUMPRODUCT($J$60:Q$60,$J6:Q6)&lt;0.5, "Pending", IF(Q6&lt;0.5, "Complete", "In Progress"))</f>
        <v>Pending</v>
      </c>
      <c r="S6" s="22">
        <v>0</v>
      </c>
      <c r="T6" s="22">
        <f t="shared" si="27"/>
        <v>4</v>
      </c>
      <c r="U6" s="23" t="str">
        <f>IF(SUMPRODUCT($J$60:T$60,$J6:T6)&lt;0.5, "Pending", IF(T6&lt;0.5, "Complete", "In Progress"))</f>
        <v>Pending</v>
      </c>
      <c r="V6" s="22">
        <v>0</v>
      </c>
      <c r="W6" s="22">
        <f t="shared" si="28"/>
        <v>4</v>
      </c>
      <c r="X6" s="23" t="str">
        <f>IF(SUMPRODUCT($J$60:W$60,$J6:W6)&lt;0.5, "Pending", IF(W6&lt;0.5, "Complete", "In Progress"))</f>
        <v>Pending</v>
      </c>
      <c r="Y6" s="22">
        <v>0</v>
      </c>
      <c r="Z6" s="22">
        <f t="shared" si="29"/>
        <v>4</v>
      </c>
      <c r="AA6" s="23" t="str">
        <f>IF(SUMPRODUCT($J$60:Z$60,$J6:Z6)&lt;0.5, "Pending", IF(Z6&lt;0.5, "Complete", "In Progress"))</f>
        <v>Pending</v>
      </c>
      <c r="AB6" s="22">
        <v>0</v>
      </c>
      <c r="AC6" s="22">
        <f t="shared" si="30"/>
        <v>4</v>
      </c>
      <c r="AD6" s="23" t="str">
        <f>IF(SUMPRODUCT($J$60:AC$60,$J6:AC6)&lt;0.5, "Pending", IF(AC6&lt;0.5, "Complete", "In Progress"))</f>
        <v>Pending</v>
      </c>
      <c r="AE6" s="22">
        <v>0</v>
      </c>
      <c r="AF6" s="22">
        <f t="shared" si="31"/>
        <v>4</v>
      </c>
      <c r="AG6" s="23" t="str">
        <f>IF(SUMPRODUCT($J$60:AF$60,$J6:AF6)&lt;0.5, "Pending", IF(AF6&lt;0.5, "Complete", "In Progress"))</f>
        <v>Pending</v>
      </c>
      <c r="AH6" s="22">
        <v>0</v>
      </c>
      <c r="AI6" s="22">
        <f t="shared" si="32"/>
        <v>4</v>
      </c>
      <c r="AJ6" s="23" t="str">
        <f>IF(SUMPRODUCT($J$60:AI$60,$J6:AI6)&lt;0.5, "Pending", IF(AI6&lt;0.5, "Complete", "In Progress"))</f>
        <v>Pending</v>
      </c>
      <c r="AK6" s="22">
        <v>0</v>
      </c>
      <c r="AL6" s="22">
        <f t="shared" si="33"/>
        <v>4</v>
      </c>
      <c r="AM6" s="23" t="str">
        <f>IF(SUMPRODUCT($J$60:AL$60,$J6:AL6)&lt;0.5, "Pending", IF(AL6&lt;0.5, "Complete", "In Progress"))</f>
        <v>Pending</v>
      </c>
      <c r="AN6" s="22">
        <v>0</v>
      </c>
      <c r="AO6" s="22">
        <f t="shared" si="34"/>
        <v>4</v>
      </c>
      <c r="AP6" s="23" t="str">
        <f>IF(SUMPRODUCT($J$60:AO$60,$J6:AO6)&lt;0.5, "Pending", IF(AO6&lt;0.5, "Complete", "In Progress"))</f>
        <v>Pending</v>
      </c>
      <c r="AQ6" s="22">
        <v>0</v>
      </c>
      <c r="AR6" s="22">
        <f t="shared" si="35"/>
        <v>4</v>
      </c>
      <c r="AS6" s="23" t="str">
        <f>IF(SUMPRODUCT($J$60:AR$60,$J6:AR6)&lt;0.5, "Pending", IF(AR6&lt;0.5, "Complete", "In Progress"))</f>
        <v>Pending</v>
      </c>
      <c r="AT6" s="22">
        <v>0</v>
      </c>
      <c r="AU6" s="22">
        <f t="shared" si="36"/>
        <v>4</v>
      </c>
      <c r="AV6" s="23" t="str">
        <f>IF(SUMPRODUCT($J$60:AU$60,$J6:AU6)&lt;0.5, "Pending", IF(AU6&lt;0.5, "Complete", "In Progress"))</f>
        <v>Pending</v>
      </c>
      <c r="AW6" s="22">
        <v>0</v>
      </c>
      <c r="AX6" s="22">
        <f t="shared" si="37"/>
        <v>4</v>
      </c>
      <c r="AY6" s="23" t="str">
        <f>IF(SUMPRODUCT($J$60:AX$60,$J6:AX6)&lt;0.5,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IF(SUMPRODUCT($J$60:BA$60,$J6:BA6)&lt;0.5,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IF(SUMPRODUCT($J$60:BD$60,$J6:BD6)&lt;0.5,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IF(SUMPRODUCT($J$60:BG$60,$J6:BG6)&lt;0.5,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IF(SUMPRODUCT($J$60:BJ$60,$J6:BJ6)&lt;0.5,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IF(SUMPRODUCT($J$60:BM$60,$J6:BM6)&lt;0.5,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IF(SUMPRODUCT($J$60:BP$60,$J6:BP6)&lt;0.5,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IF(SUMPRODUCT($J$60:BS$60,$J6:BS6)&lt;0.5,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IF(SUMPRODUCT($J$60:BV$60,$J6:BV6)&lt;0.5,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IF(SUMPRODUCT($J$60:BY$60,$J6:BY6)&lt;0.5,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IF(SUMPRODUCT($J$60:CB$60,$J6:CB6)&lt;0.5, "Pending", IF(CB6&lt;0.5, "Complete", "In Progress"))</f>
        <v>#REF!</v>
      </c>
      <c r="CD6" s="24"/>
      <c r="CE6" s="25">
        <f>SUMPRODUCT($H$60:AY$60,$H6:AY6)</f>
        <v>0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135</v>
      </c>
      <c r="G7" s="19" t="str">
        <f t="shared" ca="1" si="23"/>
        <v>Complete</v>
      </c>
      <c r="H7" s="20">
        <v>1</v>
      </c>
      <c r="I7" s="21">
        <v>2</v>
      </c>
      <c r="J7" s="22">
        <v>2</v>
      </c>
      <c r="K7" s="22">
        <f t="shared" si="24"/>
        <v>0</v>
      </c>
      <c r="L7" s="23" t="str">
        <f>IF(SUMPRODUCT($J$60:K$60,$J7:K7)&lt;0.5, "Pending", IF(K7&lt;0.5, "Complete", "In Progress"))</f>
        <v>Complete</v>
      </c>
      <c r="M7" s="22">
        <v>0</v>
      </c>
      <c r="N7" s="22">
        <f t="shared" si="25"/>
        <v>0</v>
      </c>
      <c r="O7" s="23" t="str">
        <f>IF(SUMPRODUCT($J$60:N$60,$J7:N7)&lt;0.5, "Pending", IF(N7&lt;0.5, "Complete", "In Progress"))</f>
        <v>Complete</v>
      </c>
      <c r="P7" s="22">
        <v>0</v>
      </c>
      <c r="Q7" s="22">
        <f t="shared" si="26"/>
        <v>0</v>
      </c>
      <c r="R7" s="23" t="str">
        <f>IF(SUMPRODUCT($J$60:Q$60,$J7:Q7)&lt;0.5,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IF(SUMPRODUCT($J$60:T$60,$J7:T7)&lt;0.5,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IF(SUMPRODUCT($J$60:W$60,$J7:W7)&lt;0.5,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IF(SUMPRODUCT($J$60:Z$60,$J7:Z7)&lt;0.5,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IF(SUMPRODUCT($J$60:AC$60,$J7:AC7)&lt;0.5,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IF(SUMPRODUCT($J$60:AF$60,$J7:AF7)&lt;0.5,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IF(SUMPRODUCT($J$60:AI$60,$J7:AI7)&lt;0.5,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IF(SUMPRODUCT($J$60:AL$60,$J7:AL7)&lt;0.5,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IF(SUMPRODUCT($J$60:AO$60,$J7:AO7)&lt;0.5,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IF(SUMPRODUCT($J$60:AR$60,$J7:AR7)&lt;0.5,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IF(SUMPRODUCT($J$60:AU$60,$J7:AU7)&lt;0.5,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IF(SUMPRODUCT($J$60:AX$60,$J7:AX7)&lt;0.5,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IF(SUMPRODUCT($J$60:BA$60,$J7:BA7)&lt;0.5,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IF(SUMPRODUCT($J$60:BD$60,$J7:BD7)&lt;0.5,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IF(SUMPRODUCT($J$60:BG$60,$J7:BG7)&lt;0.5,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IF(SUMPRODUCT($J$60:BJ$60,$J7:BJ7)&lt;0.5,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IF(SUMPRODUCT($J$60:BM$60,$J7:BM7)&lt;0.5,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IF(SUMPRODUCT($J$60:BP$60,$J7:BP7)&lt;0.5,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IF(SUMPRODUCT($J$60:BS$60,$J7:BS7)&lt;0.5,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IF(SUMPRODUCT($J$60:BV$60,$J7:BV7)&lt;0.5,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IF(SUMPRODUCT($J$60:BY$60,$J7:BY7)&lt;0.5,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IF(SUMPRODUCT($J$60:CB$60,$J7:CB7)&lt;0.5, "Pending", IF(CB7&lt;0.5, "Complete", "In Progress"))</f>
        <v>#REF!</v>
      </c>
      <c r="CD7" s="24"/>
      <c r="CE7" s="25">
        <f>SUMPRODUCT($H$60:AY$60,$H7:AY7)</f>
        <v>2</v>
      </c>
    </row>
    <row r="8" spans="1:83" ht="15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s">
        <v>166</v>
      </c>
      <c r="H8" s="20">
        <v>1</v>
      </c>
      <c r="I8" s="21">
        <v>1</v>
      </c>
      <c r="J8" s="22">
        <v>0</v>
      </c>
      <c r="K8" s="22">
        <f t="shared" si="24"/>
        <v>1</v>
      </c>
      <c r="L8" s="23" t="str">
        <f>IF(SUMPRODUCT($J$60:K$60,$J8:K8)&lt;0.5, "Pending", IF(K8&lt;0.5, "Complete", "In Progress"))</f>
        <v>Pending</v>
      </c>
      <c r="M8" s="22">
        <v>0</v>
      </c>
      <c r="N8" s="22">
        <f t="shared" si="25"/>
        <v>1</v>
      </c>
      <c r="O8" s="23" t="str">
        <f>IF(SUMPRODUCT($J$60:N$60,$J8:N8)&lt;0.5, "Pending", IF(N8&lt;0.5, "Complete", "In Progress"))</f>
        <v>Pending</v>
      </c>
      <c r="P8" s="22">
        <v>0</v>
      </c>
      <c r="Q8" s="22">
        <f t="shared" si="26"/>
        <v>1</v>
      </c>
      <c r="R8" s="23" t="str">
        <f>IF(SUMPRODUCT($J$60:Q$60,$J8:Q8)&lt;0.5, "Pending", IF(Q8&lt;0.5, "Complete", "In Progress"))</f>
        <v>Pending</v>
      </c>
      <c r="S8" s="22">
        <v>0</v>
      </c>
      <c r="T8" s="22">
        <f t="shared" si="27"/>
        <v>1</v>
      </c>
      <c r="U8" s="23" t="str">
        <f>IF(SUMPRODUCT($J$60:T$60,$J8:T8)&lt;0.5, "Pending", IF(T8&lt;0.5, "Complete", "In Progress"))</f>
        <v>Pending</v>
      </c>
      <c r="V8" s="22">
        <v>0</v>
      </c>
      <c r="W8" s="22">
        <f t="shared" si="28"/>
        <v>1</v>
      </c>
      <c r="X8" s="23" t="str">
        <f>IF(SUMPRODUCT($J$60:W$60,$J8:W8)&lt;0.5, "Pending", IF(W8&lt;0.5, "Complete", "In Progress"))</f>
        <v>Pending</v>
      </c>
      <c r="Y8" s="22">
        <v>0</v>
      </c>
      <c r="Z8" s="22">
        <f t="shared" si="29"/>
        <v>1</v>
      </c>
      <c r="AA8" s="23" t="str">
        <f>IF(SUMPRODUCT($J$60:Z$60,$J8:Z8)&lt;0.5, "Pending", IF(Z8&lt;0.5, "Complete", "In Progress"))</f>
        <v>Pending</v>
      </c>
      <c r="AB8" s="22">
        <v>0</v>
      </c>
      <c r="AC8" s="22">
        <f t="shared" si="30"/>
        <v>1</v>
      </c>
      <c r="AD8" s="23" t="str">
        <f>IF(SUMPRODUCT($J$60:AC$60,$J8:AC8)&lt;0.5, "Pending", IF(AC8&lt;0.5, "Complete", "In Progress"))</f>
        <v>Pending</v>
      </c>
      <c r="AE8" s="22">
        <v>0</v>
      </c>
      <c r="AF8" s="22">
        <f t="shared" si="31"/>
        <v>1</v>
      </c>
      <c r="AG8" s="23" t="str">
        <f>IF(SUMPRODUCT($J$60:AF$60,$J8:AF8)&lt;0.5, "Pending", IF(AF8&lt;0.5, "Complete", "In Progress"))</f>
        <v>Pending</v>
      </c>
      <c r="AH8" s="22">
        <v>0</v>
      </c>
      <c r="AI8" s="22">
        <f t="shared" si="32"/>
        <v>1</v>
      </c>
      <c r="AJ8" s="23" t="str">
        <f>IF(SUMPRODUCT($J$60:AI$60,$J8:AI8)&lt;0.5, "Pending", IF(AI8&lt;0.5, "Complete", "In Progress"))</f>
        <v>Pending</v>
      </c>
      <c r="AK8" s="22">
        <v>0</v>
      </c>
      <c r="AL8" s="22">
        <f t="shared" si="33"/>
        <v>1</v>
      </c>
      <c r="AM8" s="23" t="str">
        <f>IF(SUMPRODUCT($J$60:AL$60,$J8:AL8)&lt;0.5, "Pending", IF(AL8&lt;0.5, "Complete", "In Progress"))</f>
        <v>Pending</v>
      </c>
      <c r="AN8" s="22">
        <v>0</v>
      </c>
      <c r="AO8" s="22">
        <f t="shared" si="34"/>
        <v>1</v>
      </c>
      <c r="AP8" s="23" t="str">
        <f>IF(SUMPRODUCT($J$60:AO$60,$J8:AO8)&lt;0.5, "Pending", IF(AO8&lt;0.5, "Complete", "In Progress"))</f>
        <v>Pending</v>
      </c>
      <c r="AQ8" s="22">
        <v>0</v>
      </c>
      <c r="AR8" s="22">
        <f t="shared" si="35"/>
        <v>1</v>
      </c>
      <c r="AS8" s="23" t="str">
        <f>IF(SUMPRODUCT($J$60:AR$60,$J8:AR8)&lt;0.5, "Pending", IF(AR8&lt;0.5, "Complete", "In Progress"))</f>
        <v>Pending</v>
      </c>
      <c r="AT8" s="22">
        <v>0</v>
      </c>
      <c r="AU8" s="22">
        <f t="shared" si="36"/>
        <v>1</v>
      </c>
      <c r="AV8" s="23" t="str">
        <f>IF(SUMPRODUCT($J$60:AU$60,$J8:AU8)&lt;0.5, "Pending", IF(AU8&lt;0.5, "Complete", "In Progress"))</f>
        <v>Pending</v>
      </c>
      <c r="AW8" s="22">
        <v>0</v>
      </c>
      <c r="AX8" s="22">
        <f t="shared" si="37"/>
        <v>1</v>
      </c>
      <c r="AY8" s="23" t="str">
        <f>IF(SUMPRODUCT($J$60:AX$60,$J8:AX8)&lt;0.5,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IF(SUMPRODUCT($J$60:BA$60,$J8:BA8)&lt;0.5,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IF(SUMPRODUCT($J$60:BD$60,$J8:BD8)&lt;0.5,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IF(SUMPRODUCT($J$60:BG$60,$J8:BG8)&lt;0.5,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IF(SUMPRODUCT($J$60:BJ$60,$J8:BJ8)&lt;0.5,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IF(SUMPRODUCT($J$60:BM$60,$J8:BM8)&lt;0.5,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IF(SUMPRODUCT($J$60:BP$60,$J8:BP8)&lt;0.5,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IF(SUMPRODUCT($J$60:BS$60,$J8:BS8)&lt;0.5,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IF(SUMPRODUCT($J$60:BV$60,$J8:BV8)&lt;0.5,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IF(SUMPRODUCT($J$60:BY$60,$J8:BY8)&lt;0.5,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IF(SUMPRODUCT($J$60:CB$60,$J8:CB8)&lt;0.5, "Pending", IF(CB8&lt;0.5, "Complete", "In Progress"))</f>
        <v>#REF!</v>
      </c>
      <c r="CD8" s="24"/>
      <c r="CE8" s="25">
        <f>SUMPRODUCT($H$60:AY$60,$H8:AY8)</f>
        <v>0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str">
        <f t="shared" ca="1" si="23"/>
        <v>Pending</v>
      </c>
      <c r="H9" s="20">
        <v>1</v>
      </c>
      <c r="I9" s="21">
        <v>3</v>
      </c>
      <c r="J9" s="22">
        <v>0</v>
      </c>
      <c r="K9" s="22">
        <f t="shared" si="24"/>
        <v>3</v>
      </c>
      <c r="L9" s="23" t="str">
        <f>IF(SUMPRODUCT($J$60:K$60,$J9:K9)&lt;0.5, "Pending", IF(K9&lt;0.5, "Complete", "In Progress"))</f>
        <v>Pending</v>
      </c>
      <c r="M9" s="22">
        <v>0</v>
      </c>
      <c r="N9" s="22">
        <f t="shared" si="25"/>
        <v>3</v>
      </c>
      <c r="O9" s="23" t="str">
        <f>IF(SUMPRODUCT($J$60:N$60,$J9:N9)&lt;0.5, "Pending", IF(N9&lt;0.5, "Complete", "In Progress"))</f>
        <v>Pending</v>
      </c>
      <c r="P9" s="22">
        <v>0</v>
      </c>
      <c r="Q9" s="22">
        <f t="shared" si="26"/>
        <v>3</v>
      </c>
      <c r="R9" s="23" t="str">
        <f>IF(SUMPRODUCT($J$60:Q$60,$J9:Q9)&lt;0.5, "Pending", IF(Q9&lt;0.5, "Complete", "In Progress"))</f>
        <v>Pending</v>
      </c>
      <c r="S9" s="22">
        <v>0</v>
      </c>
      <c r="T9" s="22">
        <f t="shared" si="27"/>
        <v>3</v>
      </c>
      <c r="U9" s="23" t="str">
        <f>IF(SUMPRODUCT($J$60:T$60,$J9:T9)&lt;0.5, "Pending", IF(T9&lt;0.5, "Complete", "In Progress"))</f>
        <v>Pending</v>
      </c>
      <c r="V9" s="22">
        <v>0</v>
      </c>
      <c r="W9" s="22">
        <f t="shared" si="28"/>
        <v>3</v>
      </c>
      <c r="X9" s="23" t="str">
        <f>IF(SUMPRODUCT($J$60:W$60,$J9:W9)&lt;0.5, "Pending", IF(W9&lt;0.5, "Complete", "In Progress"))</f>
        <v>Pending</v>
      </c>
      <c r="Y9" s="22">
        <v>0</v>
      </c>
      <c r="Z9" s="22">
        <f t="shared" si="29"/>
        <v>3</v>
      </c>
      <c r="AA9" s="23" t="str">
        <f>IF(SUMPRODUCT($J$60:Z$60,$J9:Z9)&lt;0.5, "Pending", IF(Z9&lt;0.5, "Complete", "In Progress"))</f>
        <v>Pending</v>
      </c>
      <c r="AB9" s="22">
        <v>0</v>
      </c>
      <c r="AC9" s="22">
        <f t="shared" si="30"/>
        <v>3</v>
      </c>
      <c r="AD9" s="23" t="str">
        <f>IF(SUMPRODUCT($J$60:AC$60,$J9:AC9)&lt;0.5, "Pending", IF(AC9&lt;0.5, "Complete", "In Progress"))</f>
        <v>Pending</v>
      </c>
      <c r="AE9" s="22">
        <v>0</v>
      </c>
      <c r="AF9" s="22">
        <f t="shared" si="31"/>
        <v>3</v>
      </c>
      <c r="AG9" s="23" t="str">
        <f>IF(SUMPRODUCT($J$60:AF$60,$J9:AF9)&lt;0.5, "Pending", IF(AF9&lt;0.5, "Complete", "In Progress"))</f>
        <v>Pending</v>
      </c>
      <c r="AH9" s="22">
        <v>0</v>
      </c>
      <c r="AI9" s="22">
        <f t="shared" si="32"/>
        <v>3</v>
      </c>
      <c r="AJ9" s="23" t="str">
        <f>IF(SUMPRODUCT($J$60:AI$60,$J9:AI9)&lt;0.5, "Pending", IF(AI9&lt;0.5, "Complete", "In Progress"))</f>
        <v>Pending</v>
      </c>
      <c r="AK9" s="22">
        <v>0</v>
      </c>
      <c r="AL9" s="22">
        <f t="shared" si="33"/>
        <v>3</v>
      </c>
      <c r="AM9" s="23" t="str">
        <f>IF(SUMPRODUCT($J$60:AL$60,$J9:AL9)&lt;0.5, "Pending", IF(AL9&lt;0.5, "Complete", "In Progress"))</f>
        <v>Pending</v>
      </c>
      <c r="AN9" s="22">
        <v>0</v>
      </c>
      <c r="AO9" s="22">
        <f t="shared" si="34"/>
        <v>3</v>
      </c>
      <c r="AP9" s="23" t="str">
        <f>IF(SUMPRODUCT($J$60:AO$60,$J9:AO9)&lt;0.5, "Pending", IF(AO9&lt;0.5, "Complete", "In Progress"))</f>
        <v>Pending</v>
      </c>
      <c r="AQ9" s="22">
        <v>0</v>
      </c>
      <c r="AR9" s="22">
        <f t="shared" si="35"/>
        <v>3</v>
      </c>
      <c r="AS9" s="23" t="str">
        <f>IF(SUMPRODUCT($J$60:AR$60,$J9:AR9)&lt;0.5, "Pending", IF(AR9&lt;0.5, "Complete", "In Progress"))</f>
        <v>Pending</v>
      </c>
      <c r="AT9" s="22">
        <v>0</v>
      </c>
      <c r="AU9" s="22">
        <f t="shared" si="36"/>
        <v>3</v>
      </c>
      <c r="AV9" s="23" t="str">
        <f>IF(SUMPRODUCT($J$60:AU$60,$J9:AU9)&lt;0.5, "Pending", IF(AU9&lt;0.5, "Complete", "In Progress"))</f>
        <v>Pending</v>
      </c>
      <c r="AW9" s="22">
        <v>0</v>
      </c>
      <c r="AX9" s="22">
        <f t="shared" si="37"/>
        <v>3</v>
      </c>
      <c r="AY9" s="23" t="str">
        <f>IF(SUMPRODUCT($J$60:AX$60,$J9:AX9)&lt;0.5,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IF(SUMPRODUCT($J$60:BA$60,$J9:BA9)&lt;0.5,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IF(SUMPRODUCT($J$60:BD$60,$J9:BD9)&lt;0.5,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IF(SUMPRODUCT($J$60:BG$60,$J9:BG9)&lt;0.5,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IF(SUMPRODUCT($J$60:BJ$60,$J9:BJ9)&lt;0.5,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IF(SUMPRODUCT($J$60:BM$60,$J9:BM9)&lt;0.5,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IF(SUMPRODUCT($J$60:BP$60,$J9:BP9)&lt;0.5,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IF(SUMPRODUCT($J$60:BS$60,$J9:BS9)&lt;0.5,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IF(SUMPRODUCT($J$60:BV$60,$J9:BV9)&lt;0.5,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IF(SUMPRODUCT($J$60:BY$60,$J9:BY9)&lt;0.5,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IF(SUMPRODUCT($J$60:CB$60,$J9:CB9)&lt;0.5, "Pending", IF(CB9&lt;0.5, "Complete", "In Progress"))</f>
        <v>#REF!</v>
      </c>
      <c r="CD9" s="24"/>
      <c r="CE9" s="25">
        <f>SUMPRODUCT($H$60:AY$60,$H9:AY9)</f>
        <v>0</v>
      </c>
    </row>
    <row r="10" spans="1:83" ht="1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str">
        <f t="shared" ca="1" si="23"/>
        <v>Pending</v>
      </c>
      <c r="H10" s="20">
        <v>1</v>
      </c>
      <c r="I10" s="21">
        <v>4</v>
      </c>
      <c r="J10" s="22">
        <v>0</v>
      </c>
      <c r="K10" s="22">
        <f t="shared" si="24"/>
        <v>4</v>
      </c>
      <c r="L10" s="23" t="str">
        <f>IF(SUMPRODUCT($J$60:K$60,$J10:K10)&lt;0.5, "Pending", IF(K10&lt;0.5, "Complete", "In Progress"))</f>
        <v>Pending</v>
      </c>
      <c r="M10" s="22">
        <v>0</v>
      </c>
      <c r="N10" s="22">
        <f t="shared" si="25"/>
        <v>4</v>
      </c>
      <c r="O10" s="23" t="str">
        <f>IF(SUMPRODUCT($J$60:N$60,$J10:N10)&lt;0.5, "Pending", IF(N10&lt;0.5, "Complete", "In Progress"))</f>
        <v>Pending</v>
      </c>
      <c r="P10" s="22">
        <v>0</v>
      </c>
      <c r="Q10" s="22">
        <f t="shared" si="26"/>
        <v>4</v>
      </c>
      <c r="R10" s="23" t="str">
        <f>IF(SUMPRODUCT($J$60:Q$60,$J10:Q10)&lt;0.5, "Pending", IF(Q10&lt;0.5, "Complete", "In Progress"))</f>
        <v>Pending</v>
      </c>
      <c r="S10" s="22">
        <v>0</v>
      </c>
      <c r="T10" s="22">
        <f t="shared" si="27"/>
        <v>4</v>
      </c>
      <c r="U10" s="23" t="str">
        <f>IF(SUMPRODUCT($J$60:T$60,$J10:T10)&lt;0.5, "Pending", IF(T10&lt;0.5, "Complete", "In Progress"))</f>
        <v>Pending</v>
      </c>
      <c r="V10" s="22">
        <v>0</v>
      </c>
      <c r="W10" s="22">
        <f t="shared" si="28"/>
        <v>4</v>
      </c>
      <c r="X10" s="23" t="str">
        <f>IF(SUMPRODUCT($J$60:W$60,$J10:W10)&lt;0.5, "Pending", IF(W10&lt;0.5, "Complete", "In Progress"))</f>
        <v>Pending</v>
      </c>
      <c r="Y10" s="22">
        <v>0</v>
      </c>
      <c r="Z10" s="22">
        <f t="shared" si="29"/>
        <v>4</v>
      </c>
      <c r="AA10" s="23" t="str">
        <f>IF(SUMPRODUCT($J$60:Z$60,$J10:Z10)&lt;0.5, "Pending", IF(Z10&lt;0.5, "Complete", "In Progress"))</f>
        <v>Pending</v>
      </c>
      <c r="AB10" s="22">
        <v>0</v>
      </c>
      <c r="AC10" s="22">
        <f t="shared" si="30"/>
        <v>4</v>
      </c>
      <c r="AD10" s="23" t="str">
        <f>IF(SUMPRODUCT($J$60:AC$60,$J10:AC10)&lt;0.5, "Pending", IF(AC10&lt;0.5, "Complete", "In Progress"))</f>
        <v>Pending</v>
      </c>
      <c r="AE10" s="22">
        <v>0</v>
      </c>
      <c r="AF10" s="22">
        <f t="shared" si="31"/>
        <v>4</v>
      </c>
      <c r="AG10" s="23" t="str">
        <f>IF(SUMPRODUCT($J$60:AF$60,$J10:AF10)&lt;0.5, "Pending", IF(AF10&lt;0.5, "Complete", "In Progress"))</f>
        <v>Pending</v>
      </c>
      <c r="AH10" s="22">
        <v>0</v>
      </c>
      <c r="AI10" s="22">
        <f t="shared" si="32"/>
        <v>4</v>
      </c>
      <c r="AJ10" s="23" t="str">
        <f>IF(SUMPRODUCT($J$60:AI$60,$J10:AI10)&lt;0.5, "Pending", IF(AI10&lt;0.5, "Complete", "In Progress"))</f>
        <v>Pending</v>
      </c>
      <c r="AK10" s="22">
        <v>0</v>
      </c>
      <c r="AL10" s="22">
        <f t="shared" si="33"/>
        <v>4</v>
      </c>
      <c r="AM10" s="23" t="str">
        <f>IF(SUMPRODUCT($J$60:AL$60,$J10:AL10)&lt;0.5, "Pending", IF(AL10&lt;0.5, "Complete", "In Progress"))</f>
        <v>Pending</v>
      </c>
      <c r="AN10" s="22">
        <v>0</v>
      </c>
      <c r="AO10" s="22">
        <f t="shared" si="34"/>
        <v>4</v>
      </c>
      <c r="AP10" s="23" t="str">
        <f>IF(SUMPRODUCT($J$60:AO$60,$J10:AO10)&lt;0.5, "Pending", IF(AO10&lt;0.5, "Complete", "In Progress"))</f>
        <v>Pending</v>
      </c>
      <c r="AQ10" s="22">
        <v>0</v>
      </c>
      <c r="AR10" s="22">
        <f t="shared" si="35"/>
        <v>4</v>
      </c>
      <c r="AS10" s="23" t="str">
        <f>IF(SUMPRODUCT($J$60:AR$60,$J10:AR10)&lt;0.5, "Pending", IF(AR10&lt;0.5, "Complete", "In Progress"))</f>
        <v>Pending</v>
      </c>
      <c r="AT10" s="22">
        <v>0</v>
      </c>
      <c r="AU10" s="22">
        <f t="shared" si="36"/>
        <v>4</v>
      </c>
      <c r="AV10" s="23" t="str">
        <f>IF(SUMPRODUCT($J$60:AU$60,$J10:AU10)&lt;0.5, "Pending", IF(AU10&lt;0.5, "Complete", "In Progress"))</f>
        <v>Pending</v>
      </c>
      <c r="AW10" s="22">
        <v>0</v>
      </c>
      <c r="AX10" s="22">
        <f t="shared" si="37"/>
        <v>4</v>
      </c>
      <c r="AY10" s="23" t="str">
        <f>IF(SUMPRODUCT($J$60:AX$60,$J10:AX10)&lt;0.5,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IF(SUMPRODUCT($J$60:BA$60,$J10:BA10)&lt;0.5,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IF(SUMPRODUCT($J$60:BD$60,$J10:BD10)&lt;0.5,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IF(SUMPRODUCT($J$60:BG$60,$J10:BG10)&lt;0.5,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IF(SUMPRODUCT($J$60:BJ$60,$J10:BJ10)&lt;0.5,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IF(SUMPRODUCT($J$60:BM$60,$J10:BM10)&lt;0.5,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IF(SUMPRODUCT($J$60:BP$60,$J10:BP10)&lt;0.5,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IF(SUMPRODUCT($J$60:BS$60,$J10:BS10)&lt;0.5,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IF(SUMPRODUCT($J$60:BV$60,$J10:BV10)&lt;0.5,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IF(SUMPRODUCT($J$60:BY$60,$J10:BY10)&lt;0.5,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IF(SUMPRODUCT($J$60:CB$60,$J10:CB10)&lt;0.5, "Pending", IF(CB10&lt;0.5, "Complete", "In Progress"))</f>
        <v>#REF!</v>
      </c>
      <c r="CD10" s="24"/>
      <c r="CE10" s="25">
        <f>SUMPRODUCT($H$60:AY$60,$H10:AY10)</f>
        <v>0</v>
      </c>
    </row>
    <row r="11" spans="1:83" ht="1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str">
        <f t="shared" ca="1" si="23"/>
        <v>Pending</v>
      </c>
      <c r="H11" s="20">
        <v>1</v>
      </c>
      <c r="I11" s="21">
        <v>4</v>
      </c>
      <c r="J11" s="22">
        <v>0</v>
      </c>
      <c r="K11" s="22">
        <f t="shared" si="24"/>
        <v>4</v>
      </c>
      <c r="L11" s="23" t="str">
        <f>IF(SUMPRODUCT($J$60:K$60,$J11:K11)&lt;0.5, "Pending", IF(K11&lt;0.5, "Complete", "In Progress"))</f>
        <v>Pending</v>
      </c>
      <c r="M11" s="22">
        <v>0</v>
      </c>
      <c r="N11" s="22">
        <f t="shared" si="25"/>
        <v>4</v>
      </c>
      <c r="O11" s="23" t="str">
        <f>IF(SUMPRODUCT($J$60:N$60,$J11:N11)&lt;0.5, "Pending", IF(N11&lt;0.5, "Complete", "In Progress"))</f>
        <v>Pending</v>
      </c>
      <c r="P11" s="22">
        <v>0</v>
      </c>
      <c r="Q11" s="22">
        <f t="shared" si="26"/>
        <v>4</v>
      </c>
      <c r="R11" s="23" t="str">
        <f>IF(SUMPRODUCT($J$60:Q$60,$J11:Q11)&lt;0.5, "Pending", IF(Q11&lt;0.5, "Complete", "In Progress"))</f>
        <v>Pending</v>
      </c>
      <c r="S11" s="22">
        <v>0</v>
      </c>
      <c r="T11" s="22">
        <f t="shared" si="27"/>
        <v>4</v>
      </c>
      <c r="U11" s="23" t="str">
        <f>IF(SUMPRODUCT($J$60:T$60,$J11:T11)&lt;0.5, "Pending", IF(T11&lt;0.5, "Complete", "In Progress"))</f>
        <v>Pending</v>
      </c>
      <c r="V11" s="22">
        <v>0</v>
      </c>
      <c r="W11" s="22">
        <f t="shared" si="28"/>
        <v>4</v>
      </c>
      <c r="X11" s="23" t="str">
        <f>IF(SUMPRODUCT($J$60:W$60,$J11:W11)&lt;0.5, "Pending", IF(W11&lt;0.5, "Complete", "In Progress"))</f>
        <v>Pending</v>
      </c>
      <c r="Y11" s="22">
        <v>0</v>
      </c>
      <c r="Z11" s="22">
        <f t="shared" si="29"/>
        <v>4</v>
      </c>
      <c r="AA11" s="23" t="str">
        <f>IF(SUMPRODUCT($J$60:Z$60,$J11:Z11)&lt;0.5, "Pending", IF(Z11&lt;0.5, "Complete", "In Progress"))</f>
        <v>Pending</v>
      </c>
      <c r="AB11" s="22">
        <v>0</v>
      </c>
      <c r="AC11" s="22">
        <f t="shared" si="30"/>
        <v>4</v>
      </c>
      <c r="AD11" s="23" t="str">
        <f>IF(SUMPRODUCT($J$60:AC$60,$J11:AC11)&lt;0.5, "Pending", IF(AC11&lt;0.5, "Complete", "In Progress"))</f>
        <v>Pending</v>
      </c>
      <c r="AE11" s="22">
        <v>0</v>
      </c>
      <c r="AF11" s="22">
        <f t="shared" si="31"/>
        <v>4</v>
      </c>
      <c r="AG11" s="23" t="str">
        <f>IF(SUMPRODUCT($J$60:AF$60,$J11:AF11)&lt;0.5, "Pending", IF(AF11&lt;0.5, "Complete", "In Progress"))</f>
        <v>Pending</v>
      </c>
      <c r="AH11" s="22">
        <v>0</v>
      </c>
      <c r="AI11" s="22">
        <f t="shared" si="32"/>
        <v>4</v>
      </c>
      <c r="AJ11" s="23" t="str">
        <f>IF(SUMPRODUCT($J$60:AI$60,$J11:AI11)&lt;0.5, "Pending", IF(AI11&lt;0.5, "Complete", "In Progress"))</f>
        <v>Pending</v>
      </c>
      <c r="AK11" s="22">
        <v>0</v>
      </c>
      <c r="AL11" s="22">
        <f t="shared" si="33"/>
        <v>4</v>
      </c>
      <c r="AM11" s="23" t="str">
        <f>IF(SUMPRODUCT($J$60:AL$60,$J11:AL11)&lt;0.5, "Pending", IF(AL11&lt;0.5, "Complete", "In Progress"))</f>
        <v>Pending</v>
      </c>
      <c r="AN11" s="22">
        <v>0</v>
      </c>
      <c r="AO11" s="22">
        <f t="shared" si="34"/>
        <v>4</v>
      </c>
      <c r="AP11" s="23" t="str">
        <f>IF(SUMPRODUCT($J$60:AO$60,$J11:AO11)&lt;0.5, "Pending", IF(AO11&lt;0.5, "Complete", "In Progress"))</f>
        <v>Pending</v>
      </c>
      <c r="AQ11" s="22">
        <v>0</v>
      </c>
      <c r="AR11" s="22">
        <f t="shared" si="35"/>
        <v>4</v>
      </c>
      <c r="AS11" s="23" t="str">
        <f>IF(SUMPRODUCT($J$60:AR$60,$J11:AR11)&lt;0.5, "Pending", IF(AR11&lt;0.5, "Complete", "In Progress"))</f>
        <v>Pending</v>
      </c>
      <c r="AT11" s="22">
        <v>0</v>
      </c>
      <c r="AU11" s="22">
        <f t="shared" si="36"/>
        <v>4</v>
      </c>
      <c r="AV11" s="23" t="str">
        <f>IF(SUMPRODUCT($J$60:AU$60,$J11:AU11)&lt;0.5, "Pending", IF(AU11&lt;0.5, "Complete", "In Progress"))</f>
        <v>Pending</v>
      </c>
      <c r="AW11" s="22">
        <v>0</v>
      </c>
      <c r="AX11" s="22">
        <f t="shared" si="37"/>
        <v>4</v>
      </c>
      <c r="AY11" s="23" t="str">
        <f>IF(SUMPRODUCT($J$60:AX$60,$J11:AX11)&lt;0.5,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IF(SUMPRODUCT($J$60:BA$60,$J11:BA11)&lt;0.5,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IF(SUMPRODUCT($J$60:BD$60,$J11:BD11)&lt;0.5,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IF(SUMPRODUCT($J$60:BG$60,$J11:BG11)&lt;0.5,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IF(SUMPRODUCT($J$60:BJ$60,$J11:BJ11)&lt;0.5,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IF(SUMPRODUCT($J$60:BM$60,$J11:BM11)&lt;0.5,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IF(SUMPRODUCT($J$60:BP$60,$J11:BP11)&lt;0.5,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IF(SUMPRODUCT($J$60:BS$60,$J11:BS11)&lt;0.5,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IF(SUMPRODUCT($J$60:BV$60,$J11:BV11)&lt;0.5,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IF(SUMPRODUCT($J$60:BY$60,$J11:BY11)&lt;0.5,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IF(SUMPRODUCT($J$60:CB$60,$J11:CB11)&lt;0.5, "Pending", IF(CB11&lt;0.5, "Complete", "In Progress"))</f>
        <v>#REF!</v>
      </c>
      <c r="CD11" s="24"/>
      <c r="CE11" s="25">
        <f>SUMPRODUCT($H$60:AY$60,$H11:AY11)</f>
        <v>0</v>
      </c>
    </row>
    <row r="12" spans="1:83" ht="29.2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str">
        <f t="shared" ca="1" si="23"/>
        <v>Pending</v>
      </c>
      <c r="H12" s="20">
        <v>1</v>
      </c>
      <c r="I12" s="21">
        <v>2</v>
      </c>
      <c r="J12" s="22">
        <v>0</v>
      </c>
      <c r="K12" s="22">
        <f t="shared" si="24"/>
        <v>2</v>
      </c>
      <c r="L12" s="23" t="str">
        <f>IF(SUMPRODUCT($J$60:K$60,$J12:K12)&lt;0.5, "Pending", IF(K12&lt;0.5, "Complete", "In Progress"))</f>
        <v>Pending</v>
      </c>
      <c r="M12" s="22">
        <v>0</v>
      </c>
      <c r="N12" s="22">
        <f t="shared" si="25"/>
        <v>2</v>
      </c>
      <c r="O12" s="23" t="str">
        <f>IF(SUMPRODUCT($J$60:N$60,$J12:N12)&lt;0.5, "Pending", IF(N12&lt;0.5, "Complete", "In Progress"))</f>
        <v>Pending</v>
      </c>
      <c r="P12" s="22">
        <v>0</v>
      </c>
      <c r="Q12" s="22">
        <f t="shared" si="26"/>
        <v>2</v>
      </c>
      <c r="R12" s="23" t="str">
        <f>IF(SUMPRODUCT($J$60:Q$60,$J12:Q12)&lt;0.5, "Pending", IF(Q12&lt;0.5, "Complete", "In Progress"))</f>
        <v>Pending</v>
      </c>
      <c r="S12" s="22">
        <v>0</v>
      </c>
      <c r="T12" s="22">
        <f t="shared" si="27"/>
        <v>2</v>
      </c>
      <c r="U12" s="23" t="str">
        <f>IF(SUMPRODUCT($J$60:T$60,$J12:T12)&lt;0.5, "Pending", IF(T12&lt;0.5, "Complete", "In Progress"))</f>
        <v>Pending</v>
      </c>
      <c r="V12" s="22">
        <v>0</v>
      </c>
      <c r="W12" s="22">
        <f t="shared" si="28"/>
        <v>2</v>
      </c>
      <c r="X12" s="23" t="str">
        <f>IF(SUMPRODUCT($J$60:W$60,$J12:W12)&lt;0.5, "Pending", IF(W12&lt;0.5, "Complete", "In Progress"))</f>
        <v>Pending</v>
      </c>
      <c r="Y12" s="22">
        <v>0</v>
      </c>
      <c r="Z12" s="22">
        <f t="shared" si="29"/>
        <v>2</v>
      </c>
      <c r="AA12" s="23" t="str">
        <f>IF(SUMPRODUCT($J$60:Z$60,$J12:Z12)&lt;0.5, "Pending", IF(Z12&lt;0.5, "Complete", "In Progress"))</f>
        <v>Pending</v>
      </c>
      <c r="AB12" s="22">
        <v>0</v>
      </c>
      <c r="AC12" s="22">
        <f t="shared" si="30"/>
        <v>2</v>
      </c>
      <c r="AD12" s="23" t="str">
        <f>IF(SUMPRODUCT($J$60:AC$60,$J12:AC12)&lt;0.5, "Pending", IF(AC12&lt;0.5, "Complete", "In Progress"))</f>
        <v>Pending</v>
      </c>
      <c r="AE12" s="22">
        <v>0</v>
      </c>
      <c r="AF12" s="22">
        <f t="shared" si="31"/>
        <v>2</v>
      </c>
      <c r="AG12" s="23" t="str">
        <f>IF(SUMPRODUCT($J$60:AF$60,$J12:AF12)&lt;0.5, "Pending", IF(AF12&lt;0.5, "Complete", "In Progress"))</f>
        <v>Pending</v>
      </c>
      <c r="AH12" s="22">
        <v>0</v>
      </c>
      <c r="AI12" s="22">
        <f t="shared" si="32"/>
        <v>2</v>
      </c>
      <c r="AJ12" s="23" t="str">
        <f>IF(SUMPRODUCT($J$60:AI$60,$J12:AI12)&lt;0.5, "Pending", IF(AI12&lt;0.5, "Complete", "In Progress"))</f>
        <v>Pending</v>
      </c>
      <c r="AK12" s="22">
        <v>0</v>
      </c>
      <c r="AL12" s="22">
        <f t="shared" si="33"/>
        <v>2</v>
      </c>
      <c r="AM12" s="23" t="str">
        <f>IF(SUMPRODUCT($J$60:AL$60,$J12:AL12)&lt;0.5, "Pending", IF(AL12&lt;0.5, "Complete", "In Progress"))</f>
        <v>Pending</v>
      </c>
      <c r="AN12" s="22">
        <v>0</v>
      </c>
      <c r="AO12" s="22">
        <f t="shared" si="34"/>
        <v>2</v>
      </c>
      <c r="AP12" s="23" t="str">
        <f>IF(SUMPRODUCT($J$60:AO$60,$J12:AO12)&lt;0.5, "Pending", IF(AO12&lt;0.5, "Complete", "In Progress"))</f>
        <v>Pending</v>
      </c>
      <c r="AQ12" s="22">
        <v>0</v>
      </c>
      <c r="AR12" s="22">
        <f t="shared" si="35"/>
        <v>2</v>
      </c>
      <c r="AS12" s="23" t="str">
        <f>IF(SUMPRODUCT($J$60:AR$60,$J12:AR12)&lt;0.5, "Pending", IF(AR12&lt;0.5, "Complete", "In Progress"))</f>
        <v>Pending</v>
      </c>
      <c r="AT12" s="22">
        <v>0</v>
      </c>
      <c r="AU12" s="22">
        <f t="shared" si="36"/>
        <v>2</v>
      </c>
      <c r="AV12" s="23" t="str">
        <f>IF(SUMPRODUCT($J$60:AU$60,$J12:AU12)&lt;0.5, "Pending", IF(AU12&lt;0.5, "Complete", "In Progress"))</f>
        <v>Pending</v>
      </c>
      <c r="AW12" s="22">
        <v>0</v>
      </c>
      <c r="AX12" s="22">
        <f t="shared" si="37"/>
        <v>2</v>
      </c>
      <c r="AY12" s="23" t="str">
        <f>IF(SUMPRODUCT($J$60:AX$60,$J12:AX12)&lt;0.5,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IF(SUMPRODUCT($J$60:BA$60,$J12:BA12)&lt;0.5,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IF(SUMPRODUCT($J$60:BD$60,$J12:BD12)&lt;0.5,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IF(SUMPRODUCT($J$60:BG$60,$J12:BG12)&lt;0.5,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IF(SUMPRODUCT($J$60:BJ$60,$J12:BJ12)&lt;0.5,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IF(SUMPRODUCT($J$60:BM$60,$J12:BM12)&lt;0.5,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IF(SUMPRODUCT($J$60:BP$60,$J12:BP12)&lt;0.5,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IF(SUMPRODUCT($J$60:BS$60,$J12:BS12)&lt;0.5,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IF(SUMPRODUCT($J$60:BV$60,$J12:BV12)&lt;0.5,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IF(SUMPRODUCT($J$60:BY$60,$J12:BY12)&lt;0.5,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IF(SUMPRODUCT($J$60:CB$60,$J12:CB12)&lt;0.5, "Pending", IF(CB12&lt;0.5, "Complete", "In Progress"))</f>
        <v>#REF!</v>
      </c>
      <c r="CD12" s="24"/>
      <c r="CE12" s="25">
        <f>SUMPRODUCT($H$60:AY$60,$H12:AY12)</f>
        <v>0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str">
        <f t="shared" ca="1" si="23"/>
        <v>Pending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IF(SUMPRODUCT($J$60:K$60,$J13:K13)&lt;0.5, "Pending", IF(K13&lt;0.5, "Complete", "In Progress"))</f>
        <v>Pending</v>
      </c>
      <c r="M13" s="22">
        <v>0</v>
      </c>
      <c r="N13" s="22">
        <f t="shared" si="25"/>
        <v>4</v>
      </c>
      <c r="O13" s="23" t="str">
        <f>IF(SUMPRODUCT($J$60:N$60,$J13:N13)&lt;0.5,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IF(SUMPRODUCT($J$60:Q$60,$J13:Q13)&lt;0.5,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IF(SUMPRODUCT($J$60:T$60,$J13:T13)&lt;0.5, "Pending", IF(T13&lt;0.5, "Complete", "In Progress"))</f>
        <v>Pending</v>
      </c>
      <c r="V13" s="22">
        <v>0</v>
      </c>
      <c r="W13" s="22">
        <f t="shared" si="28"/>
        <v>4</v>
      </c>
      <c r="X13" s="23" t="str">
        <f>IF(SUMPRODUCT($J$60:W$60,$J13:W13)&lt;0.5, "Pending", IF(W13&lt;0.5, "Complete", "In Progress"))</f>
        <v>Pending</v>
      </c>
      <c r="Y13" s="22">
        <v>0</v>
      </c>
      <c r="Z13" s="22">
        <f t="shared" si="29"/>
        <v>4</v>
      </c>
      <c r="AA13" s="23" t="str">
        <f>IF(SUMPRODUCT($J$60:Z$60,$J13:Z13)&lt;0.5, "Pending", IF(Z13&lt;0.5, "Complete", "In Progress"))</f>
        <v>Pending</v>
      </c>
      <c r="AB13" s="22">
        <v>0</v>
      </c>
      <c r="AC13" s="22">
        <f t="shared" si="30"/>
        <v>4</v>
      </c>
      <c r="AD13" s="23" t="str">
        <f>IF(SUMPRODUCT($J$60:AC$60,$J13:AC13)&lt;0.5, "Pending", IF(AC13&lt;0.5, "Complete", "In Progress"))</f>
        <v>Pending</v>
      </c>
      <c r="AE13" s="22">
        <v>0</v>
      </c>
      <c r="AF13" s="22">
        <f t="shared" si="31"/>
        <v>4</v>
      </c>
      <c r="AG13" s="23" t="str">
        <f>IF(SUMPRODUCT($J$60:AF$60,$J13:AF13)&lt;0.5, "Pending", IF(AF13&lt;0.5, "Complete", "In Progress"))</f>
        <v>Pending</v>
      </c>
      <c r="AH13" s="22">
        <v>0</v>
      </c>
      <c r="AI13" s="22">
        <f t="shared" si="32"/>
        <v>4</v>
      </c>
      <c r="AJ13" s="23" t="str">
        <f>IF(SUMPRODUCT($J$60:AI$60,$J13:AI13)&lt;0.5, "Pending", IF(AI13&lt;0.5, "Complete", "In Progress"))</f>
        <v>Pending</v>
      </c>
      <c r="AK13" s="22">
        <v>0</v>
      </c>
      <c r="AL13" s="22">
        <f t="shared" si="33"/>
        <v>4</v>
      </c>
      <c r="AM13" s="23" t="str">
        <f>IF(SUMPRODUCT($J$60:AL$60,$J13:AL13)&lt;0.5, "Pending", IF(AL13&lt;0.5, "Complete", "In Progress"))</f>
        <v>Pending</v>
      </c>
      <c r="AN13" s="22">
        <v>0</v>
      </c>
      <c r="AO13" s="22">
        <f t="shared" si="34"/>
        <v>4</v>
      </c>
      <c r="AP13" s="23" t="str">
        <f>IF(SUMPRODUCT($J$60:AO$60,$J13:AO13)&lt;0.5, "Pending", IF(AO13&lt;0.5, "Complete", "In Progress"))</f>
        <v>Pending</v>
      </c>
      <c r="AQ13" s="22">
        <v>0</v>
      </c>
      <c r="AR13" s="22">
        <f t="shared" si="35"/>
        <v>4</v>
      </c>
      <c r="AS13" s="23" t="str">
        <f>IF(SUMPRODUCT($J$60:AR$60,$J13:AR13)&lt;0.5, "Pending", IF(AR13&lt;0.5, "Complete", "In Progress"))</f>
        <v>Pending</v>
      </c>
      <c r="AT13" s="22">
        <v>0</v>
      </c>
      <c r="AU13" s="22">
        <f t="shared" si="36"/>
        <v>4</v>
      </c>
      <c r="AV13" s="23" t="str">
        <f>IF(SUMPRODUCT($J$60:AU$60,$J13:AU13)&lt;0.5, "Pending", IF(AU13&lt;0.5, "Complete", "In Progress"))</f>
        <v>Pending</v>
      </c>
      <c r="AW13" s="22">
        <v>0</v>
      </c>
      <c r="AX13" s="22">
        <f t="shared" si="37"/>
        <v>4</v>
      </c>
      <c r="AY13" s="23" t="str">
        <f>IF(SUMPRODUCT($J$60:AX$60,$J13:AX13)&lt;0.5,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IF(SUMPRODUCT($J$60:BA$60,$J13:BA13)&lt;0.5,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IF(SUMPRODUCT($J$60:BD$60,$J13:BD13)&lt;0.5,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IF(SUMPRODUCT($J$60:BG$60,$J13:BG13)&lt;0.5,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IF(SUMPRODUCT($J$60:BJ$60,$J13:BJ13)&lt;0.5,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IF(SUMPRODUCT($J$60:BM$60,$J13:BM13)&lt;0.5,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IF(SUMPRODUCT($J$60:BP$60,$J13:BP13)&lt;0.5,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IF(SUMPRODUCT($J$60:BS$60,$J13:BS13)&lt;0.5,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IF(SUMPRODUCT($J$60:BV$60,$J13:BV13)&lt;0.5,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IF(SUMPRODUCT($J$60:BY$60,$J13:BY13)&lt;0.5,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IF(SUMPRODUCT($J$60:CB$60,$J13:CB13)&lt;0.5, "Pending", IF(CB13&lt;0.5, "Complete", "In Progress"))</f>
        <v>#REF!</v>
      </c>
      <c r="CD13" s="24"/>
      <c r="CE13" s="25">
        <f>SUMPRODUCT($H$60:AY$60,$H13:AY13)</f>
        <v>0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str">
        <f t="shared" ca="1" si="23"/>
        <v>Pending</v>
      </c>
      <c r="H14" s="20">
        <v>1</v>
      </c>
      <c r="I14" s="21">
        <v>4</v>
      </c>
      <c r="J14" s="22">
        <v>0</v>
      </c>
      <c r="K14" s="22">
        <f t="shared" si="24"/>
        <v>4</v>
      </c>
      <c r="L14" s="23" t="str">
        <f>IF(SUMPRODUCT($J$60:K$60,$J14:K14)&lt;0.5, "Pending", IF(K14&lt;0.5, "Complete", "In Progress"))</f>
        <v>Pending</v>
      </c>
      <c r="M14" s="22">
        <v>0</v>
      </c>
      <c r="N14" s="22">
        <f t="shared" si="25"/>
        <v>4</v>
      </c>
      <c r="O14" s="23" t="str">
        <f>IF(SUMPRODUCT($J$60:N$60,$J14:N14)&lt;0.5, "Pending", IF(N14&lt;0.5, "Complete", "In Progress"))</f>
        <v>Pending</v>
      </c>
      <c r="P14" s="22">
        <v>0</v>
      </c>
      <c r="Q14" s="22">
        <f t="shared" si="26"/>
        <v>4</v>
      </c>
      <c r="R14" s="23" t="str">
        <f>IF(SUMPRODUCT($J$60:Q$60,$J14:Q14)&lt;0.5, "Pending", IF(Q14&lt;0.5, "Complete", "In Progress"))</f>
        <v>Pending</v>
      </c>
      <c r="S14" s="22">
        <v>0</v>
      </c>
      <c r="T14" s="22">
        <f t="shared" si="27"/>
        <v>4</v>
      </c>
      <c r="U14" s="23" t="str">
        <f>IF(SUMPRODUCT($J$60:T$60,$J14:T14)&lt;0.5, "Pending", IF(T14&lt;0.5, "Complete", "In Progress"))</f>
        <v>Pending</v>
      </c>
      <c r="V14" s="22">
        <v>0</v>
      </c>
      <c r="W14" s="22">
        <f t="shared" si="28"/>
        <v>4</v>
      </c>
      <c r="X14" s="23" t="str">
        <f>IF(SUMPRODUCT($J$60:W$60,$J14:W14)&lt;0.5, "Pending", IF(W14&lt;0.5, "Complete", "In Progress"))</f>
        <v>Pending</v>
      </c>
      <c r="Y14" s="22">
        <v>0</v>
      </c>
      <c r="Z14" s="22">
        <f t="shared" si="29"/>
        <v>4</v>
      </c>
      <c r="AA14" s="23" t="str">
        <f>IF(SUMPRODUCT($J$60:Z$60,$J14:Z14)&lt;0.5, "Pending", IF(Z14&lt;0.5, "Complete", "In Progress"))</f>
        <v>Pending</v>
      </c>
      <c r="AB14" s="22">
        <v>0</v>
      </c>
      <c r="AC14" s="22">
        <f t="shared" si="30"/>
        <v>4</v>
      </c>
      <c r="AD14" s="23" t="str">
        <f>IF(SUMPRODUCT($J$60:AC$60,$J14:AC14)&lt;0.5, "Pending", IF(AC14&lt;0.5, "Complete", "In Progress"))</f>
        <v>Pending</v>
      </c>
      <c r="AE14" s="22">
        <v>0</v>
      </c>
      <c r="AF14" s="22">
        <f t="shared" si="31"/>
        <v>4</v>
      </c>
      <c r="AG14" s="23" t="str">
        <f>IF(SUMPRODUCT($J$60:AF$60,$J14:AF14)&lt;0.5, "Pending", IF(AF14&lt;0.5, "Complete", "In Progress"))</f>
        <v>Pending</v>
      </c>
      <c r="AH14" s="22">
        <v>0</v>
      </c>
      <c r="AI14" s="22">
        <f t="shared" si="32"/>
        <v>4</v>
      </c>
      <c r="AJ14" s="23" t="str">
        <f>IF(SUMPRODUCT($J$60:AI$60,$J14:AI14)&lt;0.5, "Pending", IF(AI14&lt;0.5, "Complete", "In Progress"))</f>
        <v>Pending</v>
      </c>
      <c r="AK14" s="22">
        <v>0</v>
      </c>
      <c r="AL14" s="22">
        <f t="shared" si="33"/>
        <v>4</v>
      </c>
      <c r="AM14" s="23" t="str">
        <f>IF(SUMPRODUCT($J$60:AL$60,$J14:AL14)&lt;0.5, "Pending", IF(AL14&lt;0.5, "Complete", "In Progress"))</f>
        <v>Pending</v>
      </c>
      <c r="AN14" s="22">
        <v>0</v>
      </c>
      <c r="AO14" s="22">
        <f t="shared" si="34"/>
        <v>4</v>
      </c>
      <c r="AP14" s="23" t="str">
        <f>IF(SUMPRODUCT($J$60:AO$60,$J14:AO14)&lt;0.5, "Pending", IF(AO14&lt;0.5, "Complete", "In Progress"))</f>
        <v>Pending</v>
      </c>
      <c r="AQ14" s="22">
        <v>0</v>
      </c>
      <c r="AR14" s="22">
        <f t="shared" si="35"/>
        <v>4</v>
      </c>
      <c r="AS14" s="23" t="str">
        <f>IF(SUMPRODUCT($J$60:AR$60,$J14:AR14)&lt;0.5, "Pending", IF(AR14&lt;0.5, "Complete", "In Progress"))</f>
        <v>Pending</v>
      </c>
      <c r="AT14" s="22">
        <v>0</v>
      </c>
      <c r="AU14" s="22">
        <f t="shared" si="36"/>
        <v>4</v>
      </c>
      <c r="AV14" s="23" t="str">
        <f>IF(SUMPRODUCT($J$60:AU$60,$J14:AU14)&lt;0.5, "Pending", IF(AU14&lt;0.5, "Complete", "In Progress"))</f>
        <v>Pending</v>
      </c>
      <c r="AW14" s="22">
        <v>0</v>
      </c>
      <c r="AX14" s="22">
        <f t="shared" si="37"/>
        <v>4</v>
      </c>
      <c r="AY14" s="23" t="str">
        <f>IF(SUMPRODUCT($J$60:AX$60,$J14:AX14)&lt;0.5,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IF(SUMPRODUCT($J$60:BA$60,$J14:BA14)&lt;0.5,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IF(SUMPRODUCT($J$60:BD$60,$J14:BD14)&lt;0.5,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IF(SUMPRODUCT($J$60:BG$60,$J14:BG14)&lt;0.5,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IF(SUMPRODUCT($J$60:BJ$60,$J14:BJ14)&lt;0.5,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IF(SUMPRODUCT($J$60:BM$60,$J14:BM14)&lt;0.5,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IF(SUMPRODUCT($J$60:BP$60,$J14:BP14)&lt;0.5,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IF(SUMPRODUCT($J$60:BS$60,$J14:BS14)&lt;0.5,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IF(SUMPRODUCT($J$60:BV$60,$J14:BV14)&lt;0.5,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IF(SUMPRODUCT($J$60:BY$60,$J14:BY14)&lt;0.5,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IF(SUMPRODUCT($J$60:CB$60,$J14:CB14)&lt;0.5, "Pending", IF(CB14&lt;0.5, "Complete", "In Progress"))</f>
        <v>#REF!</v>
      </c>
      <c r="CD14" s="24"/>
      <c r="CE14" s="25">
        <f>SUMPRODUCT($H$60:AY$60,$H14:AY14)</f>
        <v>0</v>
      </c>
    </row>
    <row r="15" spans="1:83" ht="15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str">
        <f t="shared" ca="1" si="23"/>
        <v>Pending</v>
      </c>
      <c r="H15" s="20">
        <v>1</v>
      </c>
      <c r="I15" s="21">
        <v>2</v>
      </c>
      <c r="J15" s="22">
        <v>0</v>
      </c>
      <c r="K15" s="22">
        <f t="shared" si="24"/>
        <v>2</v>
      </c>
      <c r="L15" s="23" t="str">
        <f>IF(SUMPRODUCT($J$60:K$60,$J15:K15)&lt;0.5, "Pending", IF(K15&lt;0.5, "Complete", "In Progress"))</f>
        <v>Pending</v>
      </c>
      <c r="M15" s="22">
        <v>0</v>
      </c>
      <c r="N15" s="22">
        <f t="shared" si="25"/>
        <v>2</v>
      </c>
      <c r="O15" s="23" t="str">
        <f>IF(SUMPRODUCT($J$60:N$60,$J15:N15)&lt;0.5, "Pending", IF(N15&lt;0.5, "Complete", "In Progress"))</f>
        <v>Pending</v>
      </c>
      <c r="P15" s="22">
        <v>0</v>
      </c>
      <c r="Q15" s="22">
        <f t="shared" si="26"/>
        <v>2</v>
      </c>
      <c r="R15" s="23" t="str">
        <f>IF(SUMPRODUCT($J$60:Q$60,$J15:Q15)&lt;0.5, "Pending", IF(Q15&lt;0.5, "Complete", "In Progress"))</f>
        <v>Pending</v>
      </c>
      <c r="S15" s="22">
        <v>0</v>
      </c>
      <c r="T15" s="22">
        <f t="shared" si="27"/>
        <v>2</v>
      </c>
      <c r="U15" s="23" t="str">
        <f>IF(SUMPRODUCT($J$60:T$60,$J15:T15)&lt;0.5, "Pending", IF(T15&lt;0.5, "Complete", "In Progress"))</f>
        <v>Pending</v>
      </c>
      <c r="V15" s="22">
        <v>0</v>
      </c>
      <c r="W15" s="22">
        <f t="shared" si="28"/>
        <v>2</v>
      </c>
      <c r="X15" s="23" t="str">
        <f>IF(SUMPRODUCT($J$60:W$60,$J15:W15)&lt;0.5, "Pending", IF(W15&lt;0.5, "Complete", "In Progress"))</f>
        <v>Pending</v>
      </c>
      <c r="Y15" s="22">
        <v>0</v>
      </c>
      <c r="Z15" s="22">
        <f t="shared" si="29"/>
        <v>2</v>
      </c>
      <c r="AA15" s="23" t="str">
        <f>IF(SUMPRODUCT($J$60:Z$60,$J15:Z15)&lt;0.5, "Pending", IF(Z15&lt;0.5, "Complete", "In Progress"))</f>
        <v>Pending</v>
      </c>
      <c r="AB15" s="22">
        <v>0</v>
      </c>
      <c r="AC15" s="22">
        <f t="shared" si="30"/>
        <v>2</v>
      </c>
      <c r="AD15" s="23" t="str">
        <f>IF(SUMPRODUCT($J$60:AC$60,$J15:AC15)&lt;0.5, "Pending", IF(AC15&lt;0.5, "Complete", "In Progress"))</f>
        <v>Pending</v>
      </c>
      <c r="AE15" s="22">
        <v>0</v>
      </c>
      <c r="AF15" s="22">
        <f t="shared" si="31"/>
        <v>2</v>
      </c>
      <c r="AG15" s="23" t="str">
        <f>IF(SUMPRODUCT($J$60:AF$60,$J15:AF15)&lt;0.5, "Pending", IF(AF15&lt;0.5, "Complete", "In Progress"))</f>
        <v>Pending</v>
      </c>
      <c r="AH15" s="22">
        <v>0</v>
      </c>
      <c r="AI15" s="22">
        <f t="shared" si="32"/>
        <v>2</v>
      </c>
      <c r="AJ15" s="23" t="str">
        <f>IF(SUMPRODUCT($J$60:AI$60,$J15:AI15)&lt;0.5, "Pending", IF(AI15&lt;0.5, "Complete", "In Progress"))</f>
        <v>Pending</v>
      </c>
      <c r="AK15" s="22">
        <v>0</v>
      </c>
      <c r="AL15" s="22">
        <f t="shared" si="33"/>
        <v>2</v>
      </c>
      <c r="AM15" s="23" t="str">
        <f>IF(SUMPRODUCT($J$60:AL$60,$J15:AL15)&lt;0.5, "Pending", IF(AL15&lt;0.5, "Complete", "In Progress"))</f>
        <v>Pending</v>
      </c>
      <c r="AN15" s="22">
        <v>0</v>
      </c>
      <c r="AO15" s="22">
        <f t="shared" si="34"/>
        <v>2</v>
      </c>
      <c r="AP15" s="23" t="str">
        <f>IF(SUMPRODUCT($J$60:AO$60,$J15:AO15)&lt;0.5, "Pending", IF(AO15&lt;0.5, "Complete", "In Progress"))</f>
        <v>Pending</v>
      </c>
      <c r="AQ15" s="22">
        <v>0</v>
      </c>
      <c r="AR15" s="22">
        <f t="shared" si="35"/>
        <v>2</v>
      </c>
      <c r="AS15" s="23" t="str">
        <f>IF(SUMPRODUCT($J$60:AR$60,$J15:AR15)&lt;0.5, "Pending", IF(AR15&lt;0.5, "Complete", "In Progress"))</f>
        <v>Pending</v>
      </c>
      <c r="AT15" s="22">
        <v>0</v>
      </c>
      <c r="AU15" s="22">
        <f t="shared" si="36"/>
        <v>2</v>
      </c>
      <c r="AV15" s="23" t="str">
        <f>IF(SUMPRODUCT($J$60:AU$60,$J15:AU15)&lt;0.5, "Pending", IF(AU15&lt;0.5, "Complete", "In Progress"))</f>
        <v>Pending</v>
      </c>
      <c r="AW15" s="22">
        <v>0</v>
      </c>
      <c r="AX15" s="22">
        <f t="shared" si="37"/>
        <v>2</v>
      </c>
      <c r="AY15" s="23" t="str">
        <f>IF(SUMPRODUCT($J$60:AX$60,$J15:AX15)&lt;0.5,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IF(SUMPRODUCT($J$60:BA$60,$J15:BA15)&lt;0.5,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IF(SUMPRODUCT($J$60:BD$60,$J15:BD15)&lt;0.5,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IF(SUMPRODUCT($J$60:BG$60,$J15:BG15)&lt;0.5,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IF(SUMPRODUCT($J$60:BJ$60,$J15:BJ15)&lt;0.5,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IF(SUMPRODUCT($J$60:BM$60,$J15:BM15)&lt;0.5,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IF(SUMPRODUCT($J$60:BP$60,$J15:BP15)&lt;0.5,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IF(SUMPRODUCT($J$60:BS$60,$J15:BS15)&lt;0.5,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IF(SUMPRODUCT($J$60:BV$60,$J15:BV15)&lt;0.5,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IF(SUMPRODUCT($J$60:BY$60,$J15:BY15)&lt;0.5,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IF(SUMPRODUCT($J$60:CB$60,$J15:CB15)&lt;0.5, "Pending", IF(CB15&lt;0.5, "Complete", "In Progress"))</f>
        <v>#REF!</v>
      </c>
      <c r="CD15" s="24"/>
      <c r="CE15" s="25">
        <f>SUMPRODUCT($H$60:AY$60,$H15:AY15)</f>
        <v>0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135</v>
      </c>
      <c r="G16" s="19" t="str">
        <f t="shared" ca="1" si="23"/>
        <v>Pending</v>
      </c>
      <c r="H16" s="20">
        <v>1</v>
      </c>
      <c r="I16" s="21">
        <v>2</v>
      </c>
      <c r="J16" s="22">
        <v>0</v>
      </c>
      <c r="K16" s="22">
        <f t="shared" si="24"/>
        <v>2</v>
      </c>
      <c r="L16" s="23" t="str">
        <f>IF(SUMPRODUCT($J$60:K$60,$J16:K16)&lt;0.5, "Pending", IF(K16&lt;0.5, "Complete", "In Progress"))</f>
        <v>Pending</v>
      </c>
      <c r="M16" s="22">
        <v>0</v>
      </c>
      <c r="N16" s="22">
        <f t="shared" si="25"/>
        <v>2</v>
      </c>
      <c r="O16" s="23" t="str">
        <f>IF(SUMPRODUCT($J$60:N$60,$J16:N16)&lt;0.5, "Pending", IF(N16&lt;0.5, "Complete", "In Progress"))</f>
        <v>Pending</v>
      </c>
      <c r="P16" s="22">
        <v>0</v>
      </c>
      <c r="Q16" s="22">
        <f t="shared" si="26"/>
        <v>2</v>
      </c>
      <c r="R16" s="23" t="str">
        <f>IF(SUMPRODUCT($J$60:Q$60,$J16:Q16)&lt;0.5, "Pending", IF(Q16&lt;0.5, "Complete", "In Progress"))</f>
        <v>Pending</v>
      </c>
      <c r="S16" s="22">
        <v>0</v>
      </c>
      <c r="T16" s="22">
        <f t="shared" si="27"/>
        <v>2</v>
      </c>
      <c r="U16" s="23" t="str">
        <f>IF(SUMPRODUCT($J$60:T$60,$J16:T16)&lt;0.5, "Pending", IF(T16&lt;0.5, "Complete", "In Progress"))</f>
        <v>Pending</v>
      </c>
      <c r="V16" s="22">
        <v>0</v>
      </c>
      <c r="W16" s="22">
        <f t="shared" si="28"/>
        <v>2</v>
      </c>
      <c r="X16" s="23" t="str">
        <f>IF(SUMPRODUCT($J$60:W$60,$J16:W16)&lt;0.5, "Pending", IF(W16&lt;0.5, "Complete", "In Progress"))</f>
        <v>Pending</v>
      </c>
      <c r="Y16" s="22">
        <v>0</v>
      </c>
      <c r="Z16" s="22">
        <f t="shared" si="29"/>
        <v>2</v>
      </c>
      <c r="AA16" s="23" t="str">
        <f>IF(SUMPRODUCT($J$60:Z$60,$J16:Z16)&lt;0.5, "Pending", IF(Z16&lt;0.5, "Complete", "In Progress"))</f>
        <v>Pending</v>
      </c>
      <c r="AB16" s="22">
        <v>0</v>
      </c>
      <c r="AC16" s="22">
        <f t="shared" si="30"/>
        <v>2</v>
      </c>
      <c r="AD16" s="23" t="str">
        <f>IF(SUMPRODUCT($J$60:AC$60,$J16:AC16)&lt;0.5, "Pending", IF(AC16&lt;0.5, "Complete", "In Progress"))</f>
        <v>Pending</v>
      </c>
      <c r="AE16" s="22">
        <v>0</v>
      </c>
      <c r="AF16" s="22">
        <f t="shared" si="31"/>
        <v>2</v>
      </c>
      <c r="AG16" s="23" t="str">
        <f>IF(SUMPRODUCT($J$60:AF$60,$J16:AF16)&lt;0.5, "Pending", IF(AF16&lt;0.5, "Complete", "In Progress"))</f>
        <v>Pending</v>
      </c>
      <c r="AH16" s="22">
        <v>0</v>
      </c>
      <c r="AI16" s="22">
        <f t="shared" si="32"/>
        <v>2</v>
      </c>
      <c r="AJ16" s="23" t="str">
        <f>IF(SUMPRODUCT($J$60:AI$60,$J16:AI16)&lt;0.5, "Pending", IF(AI16&lt;0.5, "Complete", "In Progress"))</f>
        <v>Pending</v>
      </c>
      <c r="AK16" s="22">
        <v>0</v>
      </c>
      <c r="AL16" s="22">
        <f t="shared" si="33"/>
        <v>2</v>
      </c>
      <c r="AM16" s="23" t="str">
        <f>IF(SUMPRODUCT($J$60:AL$60,$J16:AL16)&lt;0.5, "Pending", IF(AL16&lt;0.5, "Complete", "In Progress"))</f>
        <v>Pending</v>
      </c>
      <c r="AN16" s="22">
        <v>0</v>
      </c>
      <c r="AO16" s="22">
        <f t="shared" si="34"/>
        <v>2</v>
      </c>
      <c r="AP16" s="23" t="str">
        <f>IF(SUMPRODUCT($J$60:AO$60,$J16:AO16)&lt;0.5, "Pending", IF(AO16&lt;0.5, "Complete", "In Progress"))</f>
        <v>Pending</v>
      </c>
      <c r="AQ16" s="22">
        <v>0</v>
      </c>
      <c r="AR16" s="22">
        <f t="shared" si="35"/>
        <v>2</v>
      </c>
      <c r="AS16" s="23" t="str">
        <f>IF(SUMPRODUCT($J$60:AR$60,$J16:AR16)&lt;0.5, "Pending", IF(AR16&lt;0.5, "Complete", "In Progress"))</f>
        <v>Pending</v>
      </c>
      <c r="AT16" s="22">
        <v>0</v>
      </c>
      <c r="AU16" s="22">
        <f t="shared" si="36"/>
        <v>2</v>
      </c>
      <c r="AV16" s="23" t="str">
        <f>IF(SUMPRODUCT($J$60:AU$60,$J16:AU16)&lt;0.5, "Pending", IF(AU16&lt;0.5, "Complete", "In Progress"))</f>
        <v>Pending</v>
      </c>
      <c r="AW16" s="22">
        <v>0</v>
      </c>
      <c r="AX16" s="22">
        <f t="shared" si="37"/>
        <v>2</v>
      </c>
      <c r="AY16" s="23" t="str">
        <f>IF(SUMPRODUCT($J$60:AX$60,$J16:AX16)&lt;0.5,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IF(SUMPRODUCT($J$60:BA$60,$J16:BA16)&lt;0.5,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IF(SUMPRODUCT($J$60:BD$60,$J16:BD16)&lt;0.5,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IF(SUMPRODUCT($J$60:BG$60,$J16:BG16)&lt;0.5,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IF(SUMPRODUCT($J$60:BJ$60,$J16:BJ16)&lt;0.5,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IF(SUMPRODUCT($J$60:BM$60,$J16:BM16)&lt;0.5,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IF(SUMPRODUCT($J$60:BP$60,$J16:BP16)&lt;0.5,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IF(SUMPRODUCT($J$60:BS$60,$J16:BS16)&lt;0.5,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IF(SUMPRODUCT($J$60:BV$60,$J16:BV16)&lt;0.5,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IF(SUMPRODUCT($J$60:BY$60,$J16:BY16)&lt;0.5,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IF(SUMPRODUCT($J$60:CB$60,$J16:CB16)&lt;0.5, "Pending", IF(CB16&lt;0.5, "Complete", "In Progress"))</f>
        <v>#REF!</v>
      </c>
      <c r="CD16" s="24"/>
      <c r="CE16" s="25">
        <f>SUMPRODUCT($H$60:AY$60,$H16:AY16)</f>
        <v>0</v>
      </c>
    </row>
    <row r="17" spans="1:83" ht="1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134</v>
      </c>
      <c r="G17" s="19" t="str">
        <f t="shared" ca="1" si="23"/>
        <v>Pending</v>
      </c>
      <c r="H17" s="20">
        <v>1</v>
      </c>
      <c r="I17" s="21">
        <v>3</v>
      </c>
      <c r="J17" s="22">
        <v>0</v>
      </c>
      <c r="K17" s="22">
        <f t="shared" si="24"/>
        <v>3</v>
      </c>
      <c r="L17" s="23" t="str">
        <f>IF(SUMPRODUCT($J$60:K$60,$J17:K17)&lt;0.5, "Pending", IF(K17&lt;0.5, "Complete", "In Progress"))</f>
        <v>Pending</v>
      </c>
      <c r="M17" s="22">
        <v>0</v>
      </c>
      <c r="N17" s="22">
        <f t="shared" si="25"/>
        <v>3</v>
      </c>
      <c r="O17" s="23" t="str">
        <f>IF(SUMPRODUCT($J$60:N$60,$J17:N17)&lt;0.5, "Pending", IF(N17&lt;0.5, "Complete", "In Progress"))</f>
        <v>Pending</v>
      </c>
      <c r="P17" s="22">
        <v>0</v>
      </c>
      <c r="Q17" s="22">
        <f t="shared" si="26"/>
        <v>3</v>
      </c>
      <c r="R17" s="23" t="str">
        <f>IF(SUMPRODUCT($J$60:Q$60,$J17:Q17)&lt;0.5, "Pending", IF(Q17&lt;0.5, "Complete", "In Progress"))</f>
        <v>Pending</v>
      </c>
      <c r="S17" s="22">
        <v>0</v>
      </c>
      <c r="T17" s="22">
        <f t="shared" si="27"/>
        <v>3</v>
      </c>
      <c r="U17" s="23" t="str">
        <f>IF(SUMPRODUCT($J$60:T$60,$J17:T17)&lt;0.5, "Pending", IF(T17&lt;0.5, "Complete", "In Progress"))</f>
        <v>Pending</v>
      </c>
      <c r="V17" s="22">
        <v>0</v>
      </c>
      <c r="W17" s="22">
        <f t="shared" si="28"/>
        <v>3</v>
      </c>
      <c r="X17" s="23" t="str">
        <f>IF(SUMPRODUCT($J$60:W$60,$J17:W17)&lt;0.5, "Pending", IF(W17&lt;0.5, "Complete", "In Progress"))</f>
        <v>Pending</v>
      </c>
      <c r="Y17" s="22">
        <v>0</v>
      </c>
      <c r="Z17" s="22">
        <f t="shared" si="29"/>
        <v>3</v>
      </c>
      <c r="AA17" s="23" t="str">
        <f>IF(SUMPRODUCT($J$60:Z$60,$J17:Z17)&lt;0.5, "Pending", IF(Z17&lt;0.5, "Complete", "In Progress"))</f>
        <v>Pending</v>
      </c>
      <c r="AB17" s="22">
        <v>0</v>
      </c>
      <c r="AC17" s="22">
        <f t="shared" si="30"/>
        <v>3</v>
      </c>
      <c r="AD17" s="23" t="str">
        <f>IF(SUMPRODUCT($J$60:AC$60,$J17:AC17)&lt;0.5, "Pending", IF(AC17&lt;0.5, "Complete", "In Progress"))</f>
        <v>Pending</v>
      </c>
      <c r="AE17" s="22">
        <v>0</v>
      </c>
      <c r="AF17" s="22">
        <f t="shared" si="31"/>
        <v>3</v>
      </c>
      <c r="AG17" s="23" t="str">
        <f>IF(SUMPRODUCT($J$60:AF$60,$J17:AF17)&lt;0.5, "Pending", IF(AF17&lt;0.5, "Complete", "In Progress"))</f>
        <v>Pending</v>
      </c>
      <c r="AH17" s="22">
        <v>0</v>
      </c>
      <c r="AI17" s="22">
        <f t="shared" si="32"/>
        <v>3</v>
      </c>
      <c r="AJ17" s="23" t="str">
        <f>IF(SUMPRODUCT($J$60:AI$60,$J17:AI17)&lt;0.5, "Pending", IF(AI17&lt;0.5, "Complete", "In Progress"))</f>
        <v>Pending</v>
      </c>
      <c r="AK17" s="22">
        <v>0</v>
      </c>
      <c r="AL17" s="22">
        <f t="shared" si="33"/>
        <v>3</v>
      </c>
      <c r="AM17" s="23" t="str">
        <f>IF(SUMPRODUCT($J$60:AL$60,$J17:AL17)&lt;0.5, "Pending", IF(AL17&lt;0.5, "Complete", "In Progress"))</f>
        <v>Pending</v>
      </c>
      <c r="AN17" s="22">
        <v>0</v>
      </c>
      <c r="AO17" s="22">
        <f t="shared" si="34"/>
        <v>3</v>
      </c>
      <c r="AP17" s="23" t="str">
        <f>IF(SUMPRODUCT($J$60:AO$60,$J17:AO17)&lt;0.5, "Pending", IF(AO17&lt;0.5, "Complete", "In Progress"))</f>
        <v>Pending</v>
      </c>
      <c r="AQ17" s="22">
        <v>0</v>
      </c>
      <c r="AR17" s="22">
        <f t="shared" si="35"/>
        <v>3</v>
      </c>
      <c r="AS17" s="23" t="str">
        <f>IF(SUMPRODUCT($J$60:AR$60,$J17:AR17)&lt;0.5, "Pending", IF(AR17&lt;0.5, "Complete", "In Progress"))</f>
        <v>Pending</v>
      </c>
      <c r="AT17" s="22">
        <v>0</v>
      </c>
      <c r="AU17" s="22">
        <f t="shared" si="36"/>
        <v>3</v>
      </c>
      <c r="AV17" s="23" t="str">
        <f>IF(SUMPRODUCT($J$60:AU$60,$J17:AU17)&lt;0.5, "Pending", IF(AU17&lt;0.5, "Complete", "In Progress"))</f>
        <v>Pending</v>
      </c>
      <c r="AW17" s="22">
        <v>0</v>
      </c>
      <c r="AX17" s="22">
        <f t="shared" si="37"/>
        <v>3</v>
      </c>
      <c r="AY17" s="23" t="str">
        <f>IF(SUMPRODUCT($J$60:AX$60,$J17:AX17)&lt;0.5,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IF(SUMPRODUCT($J$60:BA$60,$J17:BA17)&lt;0.5,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IF(SUMPRODUCT($J$60:BD$60,$J17:BD17)&lt;0.5,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IF(SUMPRODUCT($J$60:BG$60,$J17:BG17)&lt;0.5,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IF(SUMPRODUCT($J$60:BJ$60,$J17:BJ17)&lt;0.5,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IF(SUMPRODUCT($J$60:BM$60,$J17:BM17)&lt;0.5,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IF(SUMPRODUCT($J$60:BP$60,$J17:BP17)&lt;0.5,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IF(SUMPRODUCT($J$60:BS$60,$J17:BS17)&lt;0.5,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IF(SUMPRODUCT($J$60:BV$60,$J17:BV17)&lt;0.5,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IF(SUMPRODUCT($J$60:BY$60,$J17:BY17)&lt;0.5,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IF(SUMPRODUCT($J$60:CB$60,$J17:CB17)&lt;0.5, "Pending", IF(CB17&lt;0.5, "Complete", "In Progress"))</f>
        <v>#REF!</v>
      </c>
      <c r="CD17" s="24"/>
      <c r="CE17" s="25">
        <f>SUMPRODUCT($H$60:AY$60,$H17:AY17)</f>
        <v>0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str">
        <f t="shared" ca="1" si="23"/>
        <v>Pending</v>
      </c>
      <c r="H18" s="20">
        <v>1</v>
      </c>
      <c r="I18" s="21">
        <v>1</v>
      </c>
      <c r="J18" s="22">
        <v>0</v>
      </c>
      <c r="K18" s="22">
        <f t="shared" si="24"/>
        <v>1</v>
      </c>
      <c r="L18" s="23" t="str">
        <f>IF(SUMPRODUCT($J$60:K$60,$J18:K18)&lt;0.5, "Pending", IF(K18&lt;0.5, "Complete", "In Progress"))</f>
        <v>Pending</v>
      </c>
      <c r="M18" s="22">
        <v>0</v>
      </c>
      <c r="N18" s="22">
        <f t="shared" si="25"/>
        <v>1</v>
      </c>
      <c r="O18" s="23" t="str">
        <f>IF(SUMPRODUCT($J$60:N$60,$J18:N18)&lt;0.5, "Pending", IF(N18&lt;0.5, "Complete", "In Progress"))</f>
        <v>Pending</v>
      </c>
      <c r="P18" s="22">
        <v>0</v>
      </c>
      <c r="Q18" s="22">
        <f t="shared" si="26"/>
        <v>1</v>
      </c>
      <c r="R18" s="23" t="str">
        <f>IF(SUMPRODUCT($J$60:Q$60,$J18:Q18)&lt;0.5, "Pending", IF(Q18&lt;0.5, "Complete", "In Progress"))</f>
        <v>Pending</v>
      </c>
      <c r="S18" s="22">
        <v>0</v>
      </c>
      <c r="T18" s="22">
        <f t="shared" si="27"/>
        <v>1</v>
      </c>
      <c r="U18" s="23" t="str">
        <f>IF(SUMPRODUCT($J$60:T$60,$J18:T18)&lt;0.5, "Pending", IF(T18&lt;0.5, "Complete", "In Progress"))</f>
        <v>Pending</v>
      </c>
      <c r="V18" s="22">
        <v>0</v>
      </c>
      <c r="W18" s="22">
        <f t="shared" si="28"/>
        <v>1</v>
      </c>
      <c r="X18" s="23" t="str">
        <f>IF(SUMPRODUCT($J$60:W$60,$J18:W18)&lt;0.5, "Pending", IF(W18&lt;0.5, "Complete", "In Progress"))</f>
        <v>Pending</v>
      </c>
      <c r="Y18" s="22">
        <v>0</v>
      </c>
      <c r="Z18" s="22">
        <f t="shared" si="29"/>
        <v>1</v>
      </c>
      <c r="AA18" s="23" t="str">
        <f>IF(SUMPRODUCT($J$60:Z$60,$J18:Z18)&lt;0.5, "Pending", IF(Z18&lt;0.5, "Complete", "In Progress"))</f>
        <v>Pending</v>
      </c>
      <c r="AB18" s="22">
        <v>0</v>
      </c>
      <c r="AC18" s="22">
        <f t="shared" si="30"/>
        <v>1</v>
      </c>
      <c r="AD18" s="23" t="str">
        <f>IF(SUMPRODUCT($J$60:AC$60,$J18:AC18)&lt;0.5, "Pending", IF(AC18&lt;0.5, "Complete", "In Progress"))</f>
        <v>Pending</v>
      </c>
      <c r="AE18" s="22">
        <v>0</v>
      </c>
      <c r="AF18" s="22">
        <f t="shared" si="31"/>
        <v>1</v>
      </c>
      <c r="AG18" s="23" t="str">
        <f>IF(SUMPRODUCT($J$60:AF$60,$J18:AF18)&lt;0.5, "Pending", IF(AF18&lt;0.5, "Complete", "In Progress"))</f>
        <v>Pending</v>
      </c>
      <c r="AH18" s="22">
        <v>0</v>
      </c>
      <c r="AI18" s="22">
        <f t="shared" si="32"/>
        <v>1</v>
      </c>
      <c r="AJ18" s="23" t="str">
        <f>IF(SUMPRODUCT($J$60:AI$60,$J18:AI18)&lt;0.5, "Pending", IF(AI18&lt;0.5, "Complete", "In Progress"))</f>
        <v>Pending</v>
      </c>
      <c r="AK18" s="22">
        <v>0</v>
      </c>
      <c r="AL18" s="22">
        <f t="shared" si="33"/>
        <v>1</v>
      </c>
      <c r="AM18" s="23" t="str">
        <f>IF(SUMPRODUCT($J$60:AL$60,$J18:AL18)&lt;0.5, "Pending", IF(AL18&lt;0.5, "Complete", "In Progress"))</f>
        <v>Pending</v>
      </c>
      <c r="AN18" s="22">
        <v>0</v>
      </c>
      <c r="AO18" s="22">
        <f t="shared" si="34"/>
        <v>1</v>
      </c>
      <c r="AP18" s="23" t="str">
        <f>IF(SUMPRODUCT($J$60:AO$60,$J18:AO18)&lt;0.5, "Pending", IF(AO18&lt;0.5, "Complete", "In Progress"))</f>
        <v>Pending</v>
      </c>
      <c r="AQ18" s="22">
        <v>0</v>
      </c>
      <c r="AR18" s="22">
        <f t="shared" si="35"/>
        <v>1</v>
      </c>
      <c r="AS18" s="23" t="str">
        <f>IF(SUMPRODUCT($J$60:AR$60,$J18:AR18)&lt;0.5, "Pending", IF(AR18&lt;0.5, "Complete", "In Progress"))</f>
        <v>Pending</v>
      </c>
      <c r="AT18" s="22">
        <v>0</v>
      </c>
      <c r="AU18" s="22">
        <f t="shared" si="36"/>
        <v>1</v>
      </c>
      <c r="AV18" s="23" t="str">
        <f>IF(SUMPRODUCT($J$60:AU$60,$J18:AU18)&lt;0.5, "Pending", IF(AU18&lt;0.5, "Complete", "In Progress"))</f>
        <v>Pending</v>
      </c>
      <c r="AW18" s="22">
        <v>0</v>
      </c>
      <c r="AX18" s="22">
        <f t="shared" si="37"/>
        <v>1</v>
      </c>
      <c r="AY18" s="23" t="str">
        <f>IF(SUMPRODUCT($J$60:AX$60,$J18:AX18)&lt;0.5,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IF(SUMPRODUCT($J$60:BA$60,$J18:BA18)&lt;0.5,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IF(SUMPRODUCT($J$60:BD$60,$J18:BD18)&lt;0.5,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IF(SUMPRODUCT($J$60:BG$60,$J18:BG18)&lt;0.5,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IF(SUMPRODUCT($J$60:BJ$60,$J18:BJ18)&lt;0.5,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IF(SUMPRODUCT($J$60:BM$60,$J18:BM18)&lt;0.5,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IF(SUMPRODUCT($J$60:BP$60,$J18:BP18)&lt;0.5,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IF(SUMPRODUCT($J$60:BS$60,$J18:BS18)&lt;0.5,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IF(SUMPRODUCT($J$60:BV$60,$J18:BV18)&lt;0.5,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IF(SUMPRODUCT($J$60:BY$60,$J18:BY18)&lt;0.5,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IF(SUMPRODUCT($J$60:CB$60,$J18:CB18)&lt;0.5, "Pending", IF(CB18&lt;0.5, "Complete", "In Progress"))</f>
        <v>#REF!</v>
      </c>
      <c r="CD18" s="24"/>
      <c r="CE18" s="25">
        <f>SUMPRODUCT($H$60:AY$60,$H18:AY18)</f>
        <v>0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str">
        <f t="shared" ca="1" si="23"/>
        <v>Pending</v>
      </c>
      <c r="H19" s="20">
        <v>1</v>
      </c>
      <c r="I19" s="21">
        <v>1</v>
      </c>
      <c r="J19" s="22">
        <v>0</v>
      </c>
      <c r="K19" s="22">
        <f t="shared" si="24"/>
        <v>1</v>
      </c>
      <c r="L19" s="23" t="str">
        <f>IF(SUMPRODUCT($J$60:K$60,$J19:K19)&lt;0.5, "Pending", IF(K19&lt;0.5, "Complete", "In Progress"))</f>
        <v>Pending</v>
      </c>
      <c r="M19" s="22">
        <v>0</v>
      </c>
      <c r="N19" s="22">
        <f t="shared" si="25"/>
        <v>1</v>
      </c>
      <c r="O19" s="23" t="str">
        <f>IF(SUMPRODUCT($J$60:N$60,$J19:N19)&lt;0.5, "Pending", IF(N19&lt;0.5, "Complete", "In Progress"))</f>
        <v>Pending</v>
      </c>
      <c r="P19" s="22">
        <v>0</v>
      </c>
      <c r="Q19" s="22">
        <f t="shared" si="26"/>
        <v>1</v>
      </c>
      <c r="R19" s="23" t="str">
        <f>IF(SUMPRODUCT($J$60:Q$60,$J19:Q19)&lt;0.5, "Pending", IF(Q19&lt;0.5, "Complete", "In Progress"))</f>
        <v>Pending</v>
      </c>
      <c r="S19" s="22">
        <v>0</v>
      </c>
      <c r="T19" s="22">
        <f t="shared" si="27"/>
        <v>1</v>
      </c>
      <c r="U19" s="23" t="str">
        <f>IF(SUMPRODUCT($J$60:T$60,$J19:T19)&lt;0.5, "Pending", IF(T19&lt;0.5, "Complete", "In Progress"))</f>
        <v>Pending</v>
      </c>
      <c r="V19" s="22">
        <v>0</v>
      </c>
      <c r="W19" s="22">
        <f t="shared" si="28"/>
        <v>1</v>
      </c>
      <c r="X19" s="23" t="str">
        <f>IF(SUMPRODUCT($J$60:W$60,$J19:W19)&lt;0.5, "Pending", IF(W19&lt;0.5, "Complete", "In Progress"))</f>
        <v>Pending</v>
      </c>
      <c r="Y19" s="22">
        <v>0</v>
      </c>
      <c r="Z19" s="22">
        <f t="shared" si="29"/>
        <v>1</v>
      </c>
      <c r="AA19" s="23" t="str">
        <f>IF(SUMPRODUCT($J$60:Z$60,$J19:Z19)&lt;0.5, "Pending", IF(Z19&lt;0.5, "Complete", "In Progress"))</f>
        <v>Pending</v>
      </c>
      <c r="AB19" s="22">
        <v>0</v>
      </c>
      <c r="AC19" s="22">
        <f t="shared" si="30"/>
        <v>1</v>
      </c>
      <c r="AD19" s="23" t="str">
        <f>IF(SUMPRODUCT($J$60:AC$60,$J19:AC19)&lt;0.5, "Pending", IF(AC19&lt;0.5, "Complete", "In Progress"))</f>
        <v>Pending</v>
      </c>
      <c r="AE19" s="22">
        <v>0</v>
      </c>
      <c r="AF19" s="22">
        <f t="shared" si="31"/>
        <v>1</v>
      </c>
      <c r="AG19" s="23" t="str">
        <f>IF(SUMPRODUCT($J$60:AF$60,$J19:AF19)&lt;0.5, "Pending", IF(AF19&lt;0.5, "Complete", "In Progress"))</f>
        <v>Pending</v>
      </c>
      <c r="AH19" s="22">
        <v>0</v>
      </c>
      <c r="AI19" s="22">
        <f t="shared" si="32"/>
        <v>1</v>
      </c>
      <c r="AJ19" s="23" t="str">
        <f>IF(SUMPRODUCT($J$60:AI$60,$J19:AI19)&lt;0.5, "Pending", IF(AI19&lt;0.5, "Complete", "In Progress"))</f>
        <v>Pending</v>
      </c>
      <c r="AK19" s="22">
        <v>0</v>
      </c>
      <c r="AL19" s="22">
        <f t="shared" si="33"/>
        <v>1</v>
      </c>
      <c r="AM19" s="23" t="str">
        <f>IF(SUMPRODUCT($J$60:AL$60,$J19:AL19)&lt;0.5, "Pending", IF(AL19&lt;0.5, "Complete", "In Progress"))</f>
        <v>Pending</v>
      </c>
      <c r="AN19" s="22">
        <v>0</v>
      </c>
      <c r="AO19" s="22">
        <f t="shared" si="34"/>
        <v>1</v>
      </c>
      <c r="AP19" s="23" t="str">
        <f>IF(SUMPRODUCT($J$60:AO$60,$J19:AO19)&lt;0.5, "Pending", IF(AO19&lt;0.5, "Complete", "In Progress"))</f>
        <v>Pending</v>
      </c>
      <c r="AQ19" s="22">
        <v>0</v>
      </c>
      <c r="AR19" s="22">
        <f t="shared" si="35"/>
        <v>1</v>
      </c>
      <c r="AS19" s="23" t="str">
        <f>IF(SUMPRODUCT($J$60:AR$60,$J19:AR19)&lt;0.5, "Pending", IF(AR19&lt;0.5, "Complete", "In Progress"))</f>
        <v>Pending</v>
      </c>
      <c r="AT19" s="22">
        <v>0</v>
      </c>
      <c r="AU19" s="22">
        <f t="shared" si="36"/>
        <v>1</v>
      </c>
      <c r="AV19" s="23" t="str">
        <f>IF(SUMPRODUCT($J$60:AU$60,$J19:AU19)&lt;0.5, "Pending", IF(AU19&lt;0.5, "Complete", "In Progress"))</f>
        <v>Pending</v>
      </c>
      <c r="AW19" s="22">
        <v>0</v>
      </c>
      <c r="AX19" s="22">
        <f t="shared" si="37"/>
        <v>1</v>
      </c>
      <c r="AY19" s="23" t="str">
        <f>IF(SUMPRODUCT($J$60:AX$60,$J19:AX19)&lt;0.5,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IF(SUMPRODUCT($J$60:BA$60,$J19:BA19)&lt;0.5,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IF(SUMPRODUCT($J$60:BD$60,$J19:BD19)&lt;0.5,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IF(SUMPRODUCT($J$60:BG$60,$J19:BG19)&lt;0.5,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IF(SUMPRODUCT($J$60:BJ$60,$J19:BJ19)&lt;0.5,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IF(SUMPRODUCT($J$60:BM$60,$J19:BM19)&lt;0.5,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IF(SUMPRODUCT($J$60:BP$60,$J19:BP19)&lt;0.5,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IF(SUMPRODUCT($J$60:BS$60,$J19:BS19)&lt;0.5,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IF(SUMPRODUCT($J$60:BV$60,$J19:BV19)&lt;0.5,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IF(SUMPRODUCT($J$60:BY$60,$J19:BY19)&lt;0.5,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IF(SUMPRODUCT($J$60:CB$60,$J19:CB19)&lt;0.5, "Pending", IF(CB19&lt;0.5, "Complete", "In Progress"))</f>
        <v>#REF!</v>
      </c>
      <c r="CD19" s="24"/>
      <c r="CE19" s="25">
        <f>SUMPRODUCT($H$60:AY$60,$H19:AY19)</f>
        <v>0</v>
      </c>
    </row>
    <row r="20" spans="1:83" x14ac:dyDescent="0.2">
      <c r="A20" s="16" t="s">
        <v>108</v>
      </c>
      <c r="B20" s="16" t="s">
        <v>124</v>
      </c>
      <c r="C20" s="16"/>
      <c r="D20" s="17">
        <v>17</v>
      </c>
      <c r="E20" s="178" t="s">
        <v>162</v>
      </c>
      <c r="F20" s="18" t="s">
        <v>137</v>
      </c>
      <c r="G20" s="19" t="str">
        <f t="shared" ca="1" si="23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IF(SUMPRODUCT($J$60:K$60,$J20:K20)&lt;0.5,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IF(SUMPRODUCT($J$60:N$60,$J20:N20)&lt;0.5,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IF(SUMPRODUCT($J$60:Q$60,$J20:Q20)&lt;0.5,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IF(SUMPRODUCT($J$60:T$60,$J20:T20)&lt;0.5,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IF(SUMPRODUCT($J$60:W$60,$J20:W20)&lt;0.5,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IF(SUMPRODUCT($J$60:Z$60,$J20:Z20)&lt;0.5,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IF(SUMPRODUCT($J$60:AC$60,$J20:AC20)&lt;0.5,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IF(SUMPRODUCT($J$60:AF$60,$J20:AF20)&lt;0.5,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IF(SUMPRODUCT($J$60:AI$60,$J20:AI20)&lt;0.5,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IF(SUMPRODUCT($J$60:AL$60,$J20:AL20)&lt;0.5,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IF(SUMPRODUCT($J$60:AO$60,$J20:AO20)&lt;0.5,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IF(SUMPRODUCT($J$60:AR$60,$J20:AR20)&lt;0.5,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IF(SUMPRODUCT($J$60:AU$60,$J20:AU20)&lt;0.5,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IF(SUMPRODUCT($J$60:AX$60,$J20:AX20)&lt;0.5,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IF(SUMPRODUCT($J$60:BA$60,$J20:BA20)&lt;0.5,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IF(SUMPRODUCT($J$60:BD$60,$J20:BD20)&lt;0.5,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IF(SUMPRODUCT($J$60:BG$60,$J20:BG20)&lt;0.5,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IF(SUMPRODUCT($J$60:BJ$60,$J20:BJ20)&lt;0.5,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IF(SUMPRODUCT($J$60:BM$60,$J20:BM20)&lt;0.5,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IF(SUMPRODUCT($J$60:BP$60,$J20:BP20)&lt;0.5,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IF(SUMPRODUCT($J$60:BS$60,$J20:BS20)&lt;0.5,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IF(SUMPRODUCT($J$60:BV$60,$J20:BV20)&lt;0.5,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IF(SUMPRODUCT($J$60:BY$60,$J20:BY20)&lt;0.5,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IF(SUMPRODUCT($J$60:CB$60,$J20:CB20)&lt;0.5, "Pending", IF(CB20&lt;0.5, "Complete", "In Progress"))</f>
        <v>#REF!</v>
      </c>
      <c r="CD20" s="24"/>
      <c r="CE20" s="25">
        <f>SUMPRODUCT($H$60:AY$60,$H20:AY20)</f>
        <v>0</v>
      </c>
    </row>
    <row r="21" spans="1:83" x14ac:dyDescent="0.2">
      <c r="A21" s="16" t="s">
        <v>108</v>
      </c>
      <c r="B21" s="16" t="s">
        <v>124</v>
      </c>
      <c r="C21" s="16"/>
      <c r="D21" s="17">
        <v>18</v>
      </c>
      <c r="E21" s="178" t="s">
        <v>163</v>
      </c>
      <c r="F21" s="18" t="s">
        <v>140</v>
      </c>
      <c r="G21" s="19" t="str">
        <f t="shared" ca="1" si="23"/>
        <v>Pending</v>
      </c>
      <c r="H21" s="20">
        <v>1</v>
      </c>
      <c r="I21" s="21">
        <v>2</v>
      </c>
      <c r="J21" s="22">
        <v>0</v>
      </c>
      <c r="K21" s="22">
        <f t="shared" si="24"/>
        <v>2</v>
      </c>
      <c r="L21" s="23" t="str">
        <f>IF(SUMPRODUCT($J$60:K$60,$J21:K21)&lt;0.5, "Pending", IF(K21&lt;0.5, "Complete", "In Progress"))</f>
        <v>Pending</v>
      </c>
      <c r="M21" s="22">
        <v>0</v>
      </c>
      <c r="N21" s="22">
        <f t="shared" si="25"/>
        <v>2</v>
      </c>
      <c r="O21" s="23" t="str">
        <f>IF(SUMPRODUCT($J$60:N$60,$J21:N21)&lt;0.5, "Pending", IF(N21&lt;0.5, "Complete", "In Progress"))</f>
        <v>Pending</v>
      </c>
      <c r="P21" s="22">
        <v>0</v>
      </c>
      <c r="Q21" s="22">
        <f t="shared" si="26"/>
        <v>2</v>
      </c>
      <c r="R21" s="23" t="str">
        <f>IF(SUMPRODUCT($J$60:Q$60,$J21:Q21)&lt;0.5, "Pending", IF(Q21&lt;0.5, "Complete", "In Progress"))</f>
        <v>Pending</v>
      </c>
      <c r="S21" s="22">
        <v>0</v>
      </c>
      <c r="T21" s="22">
        <f t="shared" si="27"/>
        <v>2</v>
      </c>
      <c r="U21" s="23" t="str">
        <f>IF(SUMPRODUCT($J$60:T$60,$J21:T21)&lt;0.5, "Pending", IF(T21&lt;0.5, "Complete", "In Progress"))</f>
        <v>Pending</v>
      </c>
      <c r="V21" s="22">
        <v>0</v>
      </c>
      <c r="W21" s="22">
        <f t="shared" si="28"/>
        <v>2</v>
      </c>
      <c r="X21" s="23" t="str">
        <f>IF(SUMPRODUCT($J$60:W$60,$J21:W21)&lt;0.5, "Pending", IF(W21&lt;0.5, "Complete", "In Progress"))</f>
        <v>Pending</v>
      </c>
      <c r="Y21" s="22">
        <v>0</v>
      </c>
      <c r="Z21" s="22">
        <f t="shared" si="29"/>
        <v>2</v>
      </c>
      <c r="AA21" s="23" t="str">
        <f>IF(SUMPRODUCT($J$60:Z$60,$J21:Z21)&lt;0.5, "Pending", IF(Z21&lt;0.5, "Complete", "In Progress"))</f>
        <v>Pending</v>
      </c>
      <c r="AB21" s="22">
        <v>0</v>
      </c>
      <c r="AC21" s="22">
        <f t="shared" si="30"/>
        <v>2</v>
      </c>
      <c r="AD21" s="23" t="str">
        <f>IF(SUMPRODUCT($J$60:AC$60,$J21:AC21)&lt;0.5, "Pending", IF(AC21&lt;0.5, "Complete", "In Progress"))</f>
        <v>Pending</v>
      </c>
      <c r="AE21" s="22">
        <v>0</v>
      </c>
      <c r="AF21" s="22">
        <f t="shared" si="31"/>
        <v>2</v>
      </c>
      <c r="AG21" s="23" t="str">
        <f>IF(SUMPRODUCT($J$60:AF$60,$J21:AF21)&lt;0.5, "Pending", IF(AF21&lt;0.5, "Complete", "In Progress"))</f>
        <v>Pending</v>
      </c>
      <c r="AH21" s="22">
        <v>0</v>
      </c>
      <c r="AI21" s="22">
        <f t="shared" si="32"/>
        <v>2</v>
      </c>
      <c r="AJ21" s="23" t="str">
        <f>IF(SUMPRODUCT($J$60:AI$60,$J21:AI21)&lt;0.5, "Pending", IF(AI21&lt;0.5, "Complete", "In Progress"))</f>
        <v>Pending</v>
      </c>
      <c r="AK21" s="22">
        <v>0</v>
      </c>
      <c r="AL21" s="22">
        <f t="shared" si="33"/>
        <v>2</v>
      </c>
      <c r="AM21" s="23" t="str">
        <f>IF(SUMPRODUCT($J$60:AL$60,$J21:AL21)&lt;0.5, "Pending", IF(AL21&lt;0.5, "Complete", "In Progress"))</f>
        <v>Pending</v>
      </c>
      <c r="AN21" s="22">
        <v>0</v>
      </c>
      <c r="AO21" s="22">
        <f t="shared" si="34"/>
        <v>2</v>
      </c>
      <c r="AP21" s="23" t="str">
        <f>IF(SUMPRODUCT($J$60:AO$60,$J21:AO21)&lt;0.5, "Pending", IF(AO21&lt;0.5, "Complete", "In Progress"))</f>
        <v>Pending</v>
      </c>
      <c r="AQ21" s="22">
        <v>0</v>
      </c>
      <c r="AR21" s="22">
        <f t="shared" si="35"/>
        <v>2</v>
      </c>
      <c r="AS21" s="23" t="str">
        <f>IF(SUMPRODUCT($J$60:AR$60,$J21:AR21)&lt;0.5, "Pending", IF(AR21&lt;0.5, "Complete", "In Progress"))</f>
        <v>Pending</v>
      </c>
      <c r="AT21" s="22">
        <v>0</v>
      </c>
      <c r="AU21" s="22">
        <f t="shared" si="36"/>
        <v>2</v>
      </c>
      <c r="AV21" s="23" t="str">
        <f>IF(SUMPRODUCT($J$60:AU$60,$J21:AU21)&lt;0.5, "Pending", IF(AU21&lt;0.5, "Complete", "In Progress"))</f>
        <v>Pending</v>
      </c>
      <c r="AW21" s="22">
        <v>0</v>
      </c>
      <c r="AX21" s="22">
        <f t="shared" si="37"/>
        <v>2</v>
      </c>
      <c r="AY21" s="23" t="str">
        <f>IF(SUMPRODUCT($J$60:AX$60,$J21:AX21)&lt;0.5,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IF(SUMPRODUCT($J$60:BA$60,$J21:BA21)&lt;0.5,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IF(SUMPRODUCT($J$60:BD$60,$J21:BD21)&lt;0.5,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IF(SUMPRODUCT($J$60:BG$60,$J21:BG21)&lt;0.5,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IF(SUMPRODUCT($J$60:BJ$60,$J21:BJ21)&lt;0.5,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IF(SUMPRODUCT($J$60:BM$60,$J21:BM21)&lt;0.5,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IF(SUMPRODUCT($J$60:BP$60,$J21:BP21)&lt;0.5,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IF(SUMPRODUCT($J$60:BS$60,$J21:BS21)&lt;0.5,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IF(SUMPRODUCT($J$60:BV$60,$J21:BV21)&lt;0.5,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IF(SUMPRODUCT($J$60:BY$60,$J21:BY21)&lt;0.5,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IF(SUMPRODUCT($J$60:CB$60,$J21:CB21)&lt;0.5, "Pending", IF(CB21&lt;0.5, "Complete", "In Progress"))</f>
        <v>#REF!</v>
      </c>
      <c r="CD21" s="24"/>
      <c r="CE21" s="25">
        <f>SUMPRODUCT($H$60:AY$60,$H21:AY21)</f>
        <v>0</v>
      </c>
    </row>
    <row r="22" spans="1:83" x14ac:dyDescent="0.2">
      <c r="A22" s="16" t="s">
        <v>108</v>
      </c>
      <c r="B22" s="16" t="s">
        <v>124</v>
      </c>
      <c r="C22" s="16"/>
      <c r="D22" s="17">
        <v>19</v>
      </c>
      <c r="E22" s="178" t="s">
        <v>164</v>
      </c>
      <c r="F22" s="18" t="s">
        <v>140</v>
      </c>
      <c r="G22" s="19" t="str">
        <f t="shared" ca="1" si="23"/>
        <v>Pending</v>
      </c>
      <c r="H22" s="20">
        <v>1</v>
      </c>
      <c r="I22" s="21">
        <v>2</v>
      </c>
      <c r="J22" s="22">
        <v>0</v>
      </c>
      <c r="K22" s="22">
        <f t="shared" si="24"/>
        <v>2</v>
      </c>
      <c r="L22" s="23" t="str">
        <f>IF(SUMPRODUCT($J$60:K$60,$J22:K22)&lt;0.5, "Pending", IF(K22&lt;0.5, "Complete", "In Progress"))</f>
        <v>Pending</v>
      </c>
      <c r="M22" s="22">
        <v>0</v>
      </c>
      <c r="N22" s="22">
        <f t="shared" si="25"/>
        <v>2</v>
      </c>
      <c r="O22" s="23" t="str">
        <f>IF(SUMPRODUCT($J$60:N$60,$J22:N22)&lt;0.5, "Pending", IF(N22&lt;0.5, "Complete", "In Progress"))</f>
        <v>Pending</v>
      </c>
      <c r="P22" s="22">
        <v>0</v>
      </c>
      <c r="Q22" s="22">
        <f t="shared" si="26"/>
        <v>2</v>
      </c>
      <c r="R22" s="23" t="str">
        <f>IF(SUMPRODUCT($J$60:Q$60,$J22:Q22)&lt;0.5, "Pending", IF(Q22&lt;0.5, "Complete", "In Progress"))</f>
        <v>Pending</v>
      </c>
      <c r="S22" s="22">
        <v>0</v>
      </c>
      <c r="T22" s="22">
        <f t="shared" si="27"/>
        <v>2</v>
      </c>
      <c r="U22" s="23" t="str">
        <f>IF(SUMPRODUCT($J$60:T$60,$J22:T22)&lt;0.5, "Pending", IF(T22&lt;0.5, "Complete", "In Progress"))</f>
        <v>Pending</v>
      </c>
      <c r="V22" s="22">
        <v>0</v>
      </c>
      <c r="W22" s="22">
        <f t="shared" si="28"/>
        <v>2</v>
      </c>
      <c r="X22" s="23" t="str">
        <f>IF(SUMPRODUCT($J$60:W$60,$J22:W22)&lt;0.5, "Pending", IF(W22&lt;0.5, "Complete", "In Progress"))</f>
        <v>Pending</v>
      </c>
      <c r="Y22" s="22">
        <v>0</v>
      </c>
      <c r="Z22" s="22">
        <f t="shared" si="29"/>
        <v>2</v>
      </c>
      <c r="AA22" s="23" t="str">
        <f>IF(SUMPRODUCT($J$60:Z$60,$J22:Z22)&lt;0.5, "Pending", IF(Z22&lt;0.5, "Complete", "In Progress"))</f>
        <v>Pending</v>
      </c>
      <c r="AB22" s="22">
        <v>0</v>
      </c>
      <c r="AC22" s="22">
        <f t="shared" si="30"/>
        <v>2</v>
      </c>
      <c r="AD22" s="23" t="str">
        <f>IF(SUMPRODUCT($J$60:AC$60,$J22:AC22)&lt;0.5, "Pending", IF(AC22&lt;0.5, "Complete", "In Progress"))</f>
        <v>Pending</v>
      </c>
      <c r="AE22" s="22">
        <v>0</v>
      </c>
      <c r="AF22" s="22">
        <f t="shared" si="31"/>
        <v>2</v>
      </c>
      <c r="AG22" s="23" t="str">
        <f>IF(SUMPRODUCT($J$60:AF$60,$J22:AF22)&lt;0.5, "Pending", IF(AF22&lt;0.5, "Complete", "In Progress"))</f>
        <v>Pending</v>
      </c>
      <c r="AH22" s="22">
        <v>0</v>
      </c>
      <c r="AI22" s="22">
        <f t="shared" si="32"/>
        <v>2</v>
      </c>
      <c r="AJ22" s="23" t="str">
        <f>IF(SUMPRODUCT($J$60:AI$60,$J22:AI22)&lt;0.5, "Pending", IF(AI22&lt;0.5, "Complete", "In Progress"))</f>
        <v>Pending</v>
      </c>
      <c r="AK22" s="22">
        <v>0</v>
      </c>
      <c r="AL22" s="22">
        <f t="shared" si="33"/>
        <v>2</v>
      </c>
      <c r="AM22" s="23" t="str">
        <f>IF(SUMPRODUCT($J$60:AL$60,$J22:AL22)&lt;0.5, "Pending", IF(AL22&lt;0.5, "Complete", "In Progress"))</f>
        <v>Pending</v>
      </c>
      <c r="AN22" s="22">
        <v>0</v>
      </c>
      <c r="AO22" s="22">
        <f t="shared" si="34"/>
        <v>2</v>
      </c>
      <c r="AP22" s="23" t="str">
        <f>IF(SUMPRODUCT($J$60:AO$60,$J22:AO22)&lt;0.5, "Pending", IF(AO22&lt;0.5, "Complete", "In Progress"))</f>
        <v>Pending</v>
      </c>
      <c r="AQ22" s="22">
        <v>0</v>
      </c>
      <c r="AR22" s="22">
        <f t="shared" si="35"/>
        <v>2</v>
      </c>
      <c r="AS22" s="23" t="str">
        <f>IF(SUMPRODUCT($J$60:AR$60,$J22:AR22)&lt;0.5, "Pending", IF(AR22&lt;0.5, "Complete", "In Progress"))</f>
        <v>Pending</v>
      </c>
      <c r="AT22" s="22">
        <v>0</v>
      </c>
      <c r="AU22" s="22">
        <f t="shared" si="36"/>
        <v>2</v>
      </c>
      <c r="AV22" s="23" t="str">
        <f>IF(SUMPRODUCT($J$60:AU$60,$J22:AU22)&lt;0.5, "Pending", IF(AU22&lt;0.5, "Complete", "In Progress"))</f>
        <v>Pending</v>
      </c>
      <c r="AW22" s="22">
        <v>0</v>
      </c>
      <c r="AX22" s="22">
        <f t="shared" si="37"/>
        <v>2</v>
      </c>
      <c r="AY22" s="23" t="str">
        <f>IF(SUMPRODUCT($J$60:AX$60,$J22:AX22)&lt;0.5,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IF(SUMPRODUCT($J$60:BA$60,$J22:BA22)&lt;0.5,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IF(SUMPRODUCT($J$60:BD$60,$J22:BD22)&lt;0.5,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IF(SUMPRODUCT($J$60:BG$60,$J22:BG22)&lt;0.5,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IF(SUMPRODUCT($J$60:BJ$60,$J22:BJ22)&lt;0.5,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IF(SUMPRODUCT($J$60:BM$60,$J22:BM22)&lt;0.5,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IF(SUMPRODUCT($J$60:BP$60,$J22:BP22)&lt;0.5,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IF(SUMPRODUCT($J$60:BS$60,$J22:BS22)&lt;0.5,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IF(SUMPRODUCT($J$60:BV$60,$J22:BV22)&lt;0.5,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IF(SUMPRODUCT($J$60:BY$60,$J22:BY22)&lt;0.5,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IF(SUMPRODUCT($J$60:CB$60,$J22:CB22)&lt;0.5, "Pending", IF(CB22&lt;0.5, "Complete", "In Progress"))</f>
        <v>#REF!</v>
      </c>
      <c r="CD22" s="24"/>
      <c r="CE22" s="25">
        <f>SUMPRODUCT($H$60:AY$60,$H22:AY22)</f>
        <v>0</v>
      </c>
    </row>
    <row r="23" spans="1:83" x14ac:dyDescent="0.2">
      <c r="A23" s="16" t="s">
        <v>108</v>
      </c>
      <c r="B23" s="16" t="s">
        <v>124</v>
      </c>
      <c r="C23" s="16"/>
      <c r="D23" s="17">
        <v>20</v>
      </c>
      <c r="E23" s="178" t="s">
        <v>165</v>
      </c>
      <c r="F23" s="18" t="s">
        <v>137</v>
      </c>
      <c r="G23" s="19" t="str">
        <f t="shared" ca="1" si="23"/>
        <v>Pending</v>
      </c>
      <c r="H23" s="20">
        <v>1</v>
      </c>
      <c r="I23" s="21">
        <v>2</v>
      </c>
      <c r="J23" s="22">
        <v>0</v>
      </c>
      <c r="K23" s="22">
        <f t="shared" si="24"/>
        <v>2</v>
      </c>
      <c r="L23" s="23" t="str">
        <f>IF(SUMPRODUCT($J$60:K$60,$J23:K23)&lt;0.5, "Pending", IF(K23&lt;0.5, "Complete", "In Progress"))</f>
        <v>Pending</v>
      </c>
      <c r="M23" s="22">
        <v>0</v>
      </c>
      <c r="N23" s="22">
        <f t="shared" si="25"/>
        <v>2</v>
      </c>
      <c r="O23" s="23" t="str">
        <f>IF(SUMPRODUCT($J$60:N$60,$J23:N23)&lt;0.5, "Pending", IF(N23&lt;0.5, "Complete", "In Progress"))</f>
        <v>Pending</v>
      </c>
      <c r="P23" s="22">
        <v>0</v>
      </c>
      <c r="Q23" s="22">
        <f t="shared" si="26"/>
        <v>2</v>
      </c>
      <c r="R23" s="23" t="str">
        <f>IF(SUMPRODUCT($J$60:Q$60,$J23:Q23)&lt;0.5, "Pending", IF(Q23&lt;0.5, "Complete", "In Progress"))</f>
        <v>Pending</v>
      </c>
      <c r="S23" s="22">
        <v>0</v>
      </c>
      <c r="T23" s="22">
        <f t="shared" si="27"/>
        <v>2</v>
      </c>
      <c r="U23" s="23" t="str">
        <f>IF(SUMPRODUCT($J$60:T$60,$J23:T23)&lt;0.5, "Pending", IF(T23&lt;0.5, "Complete", "In Progress"))</f>
        <v>Pending</v>
      </c>
      <c r="V23" s="22">
        <v>0</v>
      </c>
      <c r="W23" s="22">
        <f t="shared" si="28"/>
        <v>2</v>
      </c>
      <c r="X23" s="23" t="str">
        <f>IF(SUMPRODUCT($J$60:W$60,$J23:W23)&lt;0.5, "Pending", IF(W23&lt;0.5, "Complete", "In Progress"))</f>
        <v>Pending</v>
      </c>
      <c r="Y23" s="22">
        <v>0</v>
      </c>
      <c r="Z23" s="22">
        <f t="shared" si="29"/>
        <v>2</v>
      </c>
      <c r="AA23" s="23" t="str">
        <f>IF(SUMPRODUCT($J$60:Z$60,$J23:Z23)&lt;0.5, "Pending", IF(Z23&lt;0.5, "Complete", "In Progress"))</f>
        <v>Pending</v>
      </c>
      <c r="AB23" s="22">
        <v>0</v>
      </c>
      <c r="AC23" s="22">
        <f t="shared" si="30"/>
        <v>2</v>
      </c>
      <c r="AD23" s="23" t="str">
        <f>IF(SUMPRODUCT($J$60:AC$60,$J23:AC23)&lt;0.5, "Pending", IF(AC23&lt;0.5, "Complete", "In Progress"))</f>
        <v>Pending</v>
      </c>
      <c r="AE23" s="22">
        <v>0</v>
      </c>
      <c r="AF23" s="22">
        <f t="shared" si="31"/>
        <v>2</v>
      </c>
      <c r="AG23" s="23" t="str">
        <f>IF(SUMPRODUCT($J$60:AF$60,$J23:AF23)&lt;0.5, "Pending", IF(AF23&lt;0.5, "Complete", "In Progress"))</f>
        <v>Pending</v>
      </c>
      <c r="AH23" s="22">
        <v>0</v>
      </c>
      <c r="AI23" s="22">
        <f t="shared" si="32"/>
        <v>2</v>
      </c>
      <c r="AJ23" s="23" t="str">
        <f>IF(SUMPRODUCT($J$60:AI$60,$J23:AI23)&lt;0.5, "Pending", IF(AI23&lt;0.5, "Complete", "In Progress"))</f>
        <v>Pending</v>
      </c>
      <c r="AK23" s="22">
        <v>0</v>
      </c>
      <c r="AL23" s="22">
        <f t="shared" si="33"/>
        <v>2</v>
      </c>
      <c r="AM23" s="23" t="str">
        <f>IF(SUMPRODUCT($J$60:AL$60,$J23:AL23)&lt;0.5, "Pending", IF(AL23&lt;0.5, "Complete", "In Progress"))</f>
        <v>Pending</v>
      </c>
      <c r="AN23" s="22">
        <v>0</v>
      </c>
      <c r="AO23" s="22">
        <f t="shared" si="34"/>
        <v>2</v>
      </c>
      <c r="AP23" s="23" t="str">
        <f>IF(SUMPRODUCT($J$60:AO$60,$J23:AO23)&lt;0.5, "Pending", IF(AO23&lt;0.5, "Complete", "In Progress"))</f>
        <v>Pending</v>
      </c>
      <c r="AQ23" s="22">
        <v>0</v>
      </c>
      <c r="AR23" s="22">
        <f t="shared" si="35"/>
        <v>2</v>
      </c>
      <c r="AS23" s="23" t="str">
        <f>IF(SUMPRODUCT($J$60:AR$60,$J23:AR23)&lt;0.5, "Pending", IF(AR23&lt;0.5, "Complete", "In Progress"))</f>
        <v>Pending</v>
      </c>
      <c r="AT23" s="22">
        <v>0</v>
      </c>
      <c r="AU23" s="22">
        <f t="shared" si="36"/>
        <v>2</v>
      </c>
      <c r="AV23" s="23" t="str">
        <f>IF(SUMPRODUCT($J$60:AU$60,$J23:AU23)&lt;0.5, "Pending", IF(AU23&lt;0.5, "Complete", "In Progress"))</f>
        <v>Pending</v>
      </c>
      <c r="AW23" s="22">
        <v>0</v>
      </c>
      <c r="AX23" s="22">
        <f t="shared" si="37"/>
        <v>2</v>
      </c>
      <c r="AY23" s="23" t="str">
        <f>IF(SUMPRODUCT($J$60:AX$60,$J23:AX23)&lt;0.5,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IF(SUMPRODUCT($J$60:BA$60,$J23:BA23)&lt;0.5,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IF(SUMPRODUCT($J$60:BD$60,$J23:BD23)&lt;0.5,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IF(SUMPRODUCT($J$60:BG$60,$J23:BG23)&lt;0.5,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IF(SUMPRODUCT($J$60:BJ$60,$J23:BJ23)&lt;0.5,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IF(SUMPRODUCT($J$60:BM$60,$J23:BM23)&lt;0.5,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IF(SUMPRODUCT($J$60:BP$60,$J23:BP23)&lt;0.5,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IF(SUMPRODUCT($J$60:BS$60,$J23:BS23)&lt;0.5,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IF(SUMPRODUCT($J$60:BV$60,$J23:BV23)&lt;0.5,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IF(SUMPRODUCT($J$60:BY$60,$J23:BY23)&lt;0.5,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IF(SUMPRODUCT($J$60:CB$60,$J23:CB23)&lt;0.5, "Pending", IF(CB23&lt;0.5, "Complete", "In Progress"))</f>
        <v>#REF!</v>
      </c>
      <c r="CD23" s="24"/>
      <c r="CE23" s="25">
        <f>SUMPRODUCT($H$60:AY$60,$H23:AY23)</f>
        <v>0</v>
      </c>
    </row>
    <row r="24" spans="1:83" x14ac:dyDescent="0.2">
      <c r="A24" s="16" t="s">
        <v>105</v>
      </c>
      <c r="B24" s="16" t="s">
        <v>122</v>
      </c>
      <c r="C24" s="16" t="s">
        <v>155</v>
      </c>
      <c r="D24" s="17">
        <v>21</v>
      </c>
      <c r="E24" s="178" t="s">
        <v>176</v>
      </c>
      <c r="F24" s="18" t="s">
        <v>134</v>
      </c>
      <c r="G24" s="19" t="str">
        <f t="shared" ca="1" si="23"/>
        <v>Pending</v>
      </c>
      <c r="H24" s="20">
        <v>1</v>
      </c>
      <c r="I24" s="21">
        <v>4</v>
      </c>
      <c r="J24" s="22">
        <v>0</v>
      </c>
      <c r="K24" s="22">
        <f t="shared" si="24"/>
        <v>4</v>
      </c>
      <c r="L24" s="23" t="str">
        <f>IF(SUMPRODUCT($J$60:K$60,$J24:K24)&lt;0.5, "Pending", IF(K24&lt;0.5, "Complete", "In Progress"))</f>
        <v>Pending</v>
      </c>
      <c r="M24" s="22">
        <v>0</v>
      </c>
      <c r="N24" s="22">
        <f t="shared" si="25"/>
        <v>4</v>
      </c>
      <c r="O24" s="23" t="str">
        <f>IF(SUMPRODUCT($J$60:N$60,$J24:N24)&lt;0.5, "Pending", IF(N24&lt;0.5, "Complete", "In Progress"))</f>
        <v>Pending</v>
      </c>
      <c r="P24" s="22">
        <v>0</v>
      </c>
      <c r="Q24" s="22">
        <f t="shared" si="26"/>
        <v>4</v>
      </c>
      <c r="R24" s="23" t="str">
        <f>IF(SUMPRODUCT($J$60:Q$60,$J24:Q24)&lt;0.5, "Pending", IF(Q24&lt;0.5, "Complete", "In Progress"))</f>
        <v>Pending</v>
      </c>
      <c r="S24" s="22">
        <v>0</v>
      </c>
      <c r="T24" s="22">
        <f t="shared" si="27"/>
        <v>4</v>
      </c>
      <c r="U24" s="23" t="str">
        <f>IF(SUMPRODUCT($J$60:T$60,$J24:T24)&lt;0.5, "Pending", IF(T24&lt;0.5, "Complete", "In Progress"))</f>
        <v>Pending</v>
      </c>
      <c r="V24" s="22">
        <v>0</v>
      </c>
      <c r="W24" s="22">
        <f t="shared" si="28"/>
        <v>4</v>
      </c>
      <c r="X24" s="23" t="str">
        <f>IF(SUMPRODUCT($J$60:W$60,$J24:W24)&lt;0.5, "Pending", IF(W24&lt;0.5, "Complete", "In Progress"))</f>
        <v>Pending</v>
      </c>
      <c r="Y24" s="22">
        <v>0</v>
      </c>
      <c r="Z24" s="22">
        <f t="shared" si="29"/>
        <v>4</v>
      </c>
      <c r="AA24" s="23" t="str">
        <f>IF(SUMPRODUCT($J$60:Z$60,$J24:Z24)&lt;0.5, "Pending", IF(Z24&lt;0.5, "Complete", "In Progress"))</f>
        <v>Pending</v>
      </c>
      <c r="AB24" s="22">
        <v>0</v>
      </c>
      <c r="AC24" s="22">
        <f t="shared" si="30"/>
        <v>4</v>
      </c>
      <c r="AD24" s="23" t="str">
        <f>IF(SUMPRODUCT($J$60:AC$60,$J24:AC24)&lt;0.5, "Pending", IF(AC24&lt;0.5, "Complete", "In Progress"))</f>
        <v>Pending</v>
      </c>
      <c r="AE24" s="22">
        <v>0</v>
      </c>
      <c r="AF24" s="22">
        <f t="shared" si="31"/>
        <v>4</v>
      </c>
      <c r="AG24" s="23" t="str">
        <f>IF(SUMPRODUCT($J$60:AF$60,$J24:AF24)&lt;0.5, "Pending", IF(AF24&lt;0.5, "Complete", "In Progress"))</f>
        <v>Pending</v>
      </c>
      <c r="AH24" s="22">
        <v>0</v>
      </c>
      <c r="AI24" s="22">
        <f t="shared" si="32"/>
        <v>4</v>
      </c>
      <c r="AJ24" s="23" t="str">
        <f>IF(SUMPRODUCT($J$60:AI$60,$J24:AI24)&lt;0.5, "Pending", IF(AI24&lt;0.5, "Complete", "In Progress"))</f>
        <v>Pending</v>
      </c>
      <c r="AK24" s="22">
        <v>0</v>
      </c>
      <c r="AL24" s="22">
        <f t="shared" si="33"/>
        <v>4</v>
      </c>
      <c r="AM24" s="23" t="str">
        <f>IF(SUMPRODUCT($J$60:AL$60,$J24:AL24)&lt;0.5, "Pending", IF(AL24&lt;0.5, "Complete", "In Progress"))</f>
        <v>Pending</v>
      </c>
      <c r="AN24" s="22">
        <v>0</v>
      </c>
      <c r="AO24" s="22">
        <f t="shared" si="34"/>
        <v>4</v>
      </c>
      <c r="AP24" s="23" t="str">
        <f>IF(SUMPRODUCT($J$60:AO$60,$J24:AO24)&lt;0.5, "Pending", IF(AO24&lt;0.5, "Complete", "In Progress"))</f>
        <v>Pending</v>
      </c>
      <c r="AQ24" s="22">
        <v>0</v>
      </c>
      <c r="AR24" s="22">
        <f t="shared" si="35"/>
        <v>4</v>
      </c>
      <c r="AS24" s="23" t="str">
        <f>IF(SUMPRODUCT($J$60:AR$60,$J24:AR24)&lt;0.5, "Pending", IF(AR24&lt;0.5, "Complete", "In Progress"))</f>
        <v>Pending</v>
      </c>
      <c r="AT24" s="22">
        <v>0</v>
      </c>
      <c r="AU24" s="22">
        <f t="shared" si="36"/>
        <v>4</v>
      </c>
      <c r="AV24" s="23" t="str">
        <f>IF(SUMPRODUCT($J$60:AU$60,$J24:AU24)&lt;0.5, "Pending", IF(AU24&lt;0.5, "Complete", "In Progress"))</f>
        <v>Pending</v>
      </c>
      <c r="AW24" s="22">
        <v>0</v>
      </c>
      <c r="AX24" s="22">
        <f t="shared" si="37"/>
        <v>4</v>
      </c>
      <c r="AY24" s="23" t="str">
        <f>IF(SUMPRODUCT($J$60:AX$60,$J24:AX24)&lt;0.5,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IF(SUMPRODUCT($J$60:BA$60,$J24:BA24)&lt;0.5,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IF(SUMPRODUCT($J$60:BD$60,$J24:BD24)&lt;0.5,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IF(SUMPRODUCT($J$60:BG$60,$J24:BG24)&lt;0.5,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IF(SUMPRODUCT($J$60:BJ$60,$J24:BJ24)&lt;0.5,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IF(SUMPRODUCT($J$60:BM$60,$J24:BM24)&lt;0.5,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IF(SUMPRODUCT($J$60:BP$60,$J24:BP24)&lt;0.5,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IF(SUMPRODUCT($J$60:BS$60,$J24:BS24)&lt;0.5,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IF(SUMPRODUCT($J$60:BV$60,$J24:BV24)&lt;0.5,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IF(SUMPRODUCT($J$60:BY$60,$J24:BY24)&lt;0.5,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IF(SUMPRODUCT($J$60:CB$60,$J24:CB24)&lt;0.5, "Pending", IF(CB24&lt;0.5, "Complete", "In Progress"))</f>
        <v>#REF!</v>
      </c>
      <c r="CD24" s="24"/>
      <c r="CE24" s="25">
        <f>SUMPRODUCT($H$60:AY$60,$H24:AY24)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str">
        <f t="shared" ca="1" si="23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IF(SUMPRODUCT($J$60:K$60,$J25:K25)&lt;0.5,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IF(SUMPRODUCT($J$60:N$60,$J25:N25)&lt;0.5,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IF(SUMPRODUCT($J$60:Q$60,$J25:Q25)&lt;0.5,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IF(SUMPRODUCT($J$60:T$60,$J25:T25)&lt;0.5,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IF(SUMPRODUCT($J$60:W$60,$J25:W25)&lt;0.5,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IF(SUMPRODUCT($J$60:Z$60,$J25:Z25)&lt;0.5,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IF(SUMPRODUCT($J$60:AC$60,$J25:AC25)&lt;0.5,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IF(SUMPRODUCT($J$60:AF$60,$J25:AF25)&lt;0.5,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IF(SUMPRODUCT($J$60:AI$60,$J25:AI25)&lt;0.5,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IF(SUMPRODUCT($J$60:AL$60,$J25:AL25)&lt;0.5,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IF(SUMPRODUCT($J$60:AO$60,$J25:AO25)&lt;0.5,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IF(SUMPRODUCT($J$60:AR$60,$J25:AR25)&lt;0.5,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IF(SUMPRODUCT($J$60:AU$60,$J25:AU25)&lt;0.5,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IF(SUMPRODUCT($J$60:AX$60,$J25:AX25)&lt;0.5,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IF(SUMPRODUCT($J$60:BA$60,$J25:BA25)&lt;0.5,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IF(SUMPRODUCT($J$60:BD$60,$J25:BD25)&lt;0.5,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IF(SUMPRODUCT($J$60:BG$60,$J25:BG25)&lt;0.5,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IF(SUMPRODUCT($J$60:BJ$60,$J25:BJ25)&lt;0.5,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IF(SUMPRODUCT($J$60:BM$60,$J25:BM25)&lt;0.5,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IF(SUMPRODUCT($J$60:BP$60,$J25:BP25)&lt;0.5,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IF(SUMPRODUCT($J$60:BS$60,$J25:BS25)&lt;0.5,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IF(SUMPRODUCT($J$60:BV$60,$J25:BV25)&lt;0.5,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IF(SUMPRODUCT($J$60:BY$60,$J25:BY25)&lt;0.5,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IF(SUMPRODUCT($J$60:CB$60,$J25:CB25)&lt;0.5, "Pending", IF(CB25&lt;0.5, "Complete", "In Progress"))</f>
        <v>#REF!</v>
      </c>
      <c r="CD25" s="24"/>
      <c r="CE25" s="25">
        <f>SUMPRODUCT($H$60:AY$60,$H25:AY25)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str">
        <f t="shared" ca="1" si="23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IF(SUMPRODUCT($J$60:K$60,$J26:K26)&lt;0.5,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IF(SUMPRODUCT($J$60:N$60,$J26:N26)&lt;0.5,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IF(SUMPRODUCT($J$60:Q$60,$J26:Q26)&lt;0.5,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IF(SUMPRODUCT($J$60:T$60,$J26:T26)&lt;0.5,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IF(SUMPRODUCT($J$60:W$60,$J26:W26)&lt;0.5,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IF(SUMPRODUCT($J$60:Z$60,$J26:Z26)&lt;0.5,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IF(SUMPRODUCT($J$60:AC$60,$J26:AC26)&lt;0.5,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IF(SUMPRODUCT($J$60:AF$60,$J26:AF26)&lt;0.5,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IF(SUMPRODUCT($J$60:AI$60,$J26:AI26)&lt;0.5,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IF(SUMPRODUCT($J$60:AL$60,$J26:AL26)&lt;0.5,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IF(SUMPRODUCT($J$60:AO$60,$J26:AO26)&lt;0.5,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IF(SUMPRODUCT($J$60:AR$60,$J26:AR26)&lt;0.5,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IF(SUMPRODUCT($J$60:AU$60,$J26:AU26)&lt;0.5,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IF(SUMPRODUCT($J$60:AX$60,$J26:AX26)&lt;0.5,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IF(SUMPRODUCT($J$60:BA$60,$J26:BA26)&lt;0.5,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IF(SUMPRODUCT($J$60:BD$60,$J26:BD26)&lt;0.5,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IF(SUMPRODUCT($J$60:BG$60,$J26:BG26)&lt;0.5,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IF(SUMPRODUCT($J$60:BJ$60,$J26:BJ26)&lt;0.5,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IF(SUMPRODUCT($J$60:BM$60,$J26:BM26)&lt;0.5,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IF(SUMPRODUCT($J$60:BP$60,$J26:BP26)&lt;0.5,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IF(SUMPRODUCT($J$60:BS$60,$J26:BS26)&lt;0.5,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IF(SUMPRODUCT($J$60:BV$60,$J26:BV26)&lt;0.5,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IF(SUMPRODUCT($J$60:BY$60,$J26:BY26)&lt;0.5,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IF(SUMPRODUCT($J$60:CB$60,$J26:CB26)&lt;0.5, "Pending", IF(CB26&lt;0.5, "Complete", "In Progress"))</f>
        <v>#REF!</v>
      </c>
      <c r="CD26" s="24"/>
      <c r="CE26" s="25">
        <f>SUMPRODUCT($H$60:AY$60,$H26:AY26)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str">
        <f t="shared" ca="1" si="23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IF(SUMPRODUCT($J$60:K$60,$J27:K27)&lt;0.5,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IF(SUMPRODUCT($J$60:N$60,$J27:N27)&lt;0.5,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IF(SUMPRODUCT($J$60:Q$60,$J27:Q27)&lt;0.5,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IF(SUMPRODUCT($J$60:T$60,$J27:T27)&lt;0.5,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IF(SUMPRODUCT($J$60:W$60,$J27:W27)&lt;0.5,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IF(SUMPRODUCT($J$60:Z$60,$J27:Z27)&lt;0.5,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IF(SUMPRODUCT($J$60:AC$60,$J27:AC27)&lt;0.5,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IF(SUMPRODUCT($J$60:AF$60,$J27:AF27)&lt;0.5,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IF(SUMPRODUCT($J$60:AI$60,$J27:AI27)&lt;0.5,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IF(SUMPRODUCT($J$60:AL$60,$J27:AL27)&lt;0.5,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IF(SUMPRODUCT($J$60:AO$60,$J27:AO27)&lt;0.5,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IF(SUMPRODUCT($J$60:AR$60,$J27:AR27)&lt;0.5,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IF(SUMPRODUCT($J$60:AU$60,$J27:AU27)&lt;0.5,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IF(SUMPRODUCT($J$60:AX$60,$J27:AX27)&lt;0.5,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IF(SUMPRODUCT($J$60:BA$60,$J27:BA27)&lt;0.5,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IF(SUMPRODUCT($J$60:BD$60,$J27:BD27)&lt;0.5,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IF(SUMPRODUCT($J$60:BG$60,$J27:BG27)&lt;0.5,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IF(SUMPRODUCT($J$60:BJ$60,$J27:BJ27)&lt;0.5,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IF(SUMPRODUCT($J$60:BM$60,$J27:BM27)&lt;0.5,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IF(SUMPRODUCT($J$60:BP$60,$J27:BP27)&lt;0.5,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IF(SUMPRODUCT($J$60:BS$60,$J27:BS27)&lt;0.5,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IF(SUMPRODUCT($J$60:BV$60,$J27:BV27)&lt;0.5,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IF(SUMPRODUCT($J$60:BY$60,$J27:BY27)&lt;0.5,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IF(SUMPRODUCT($J$60:CB$60,$J27:CB27)&lt;0.5, "Pending", IF(CB27&lt;0.5, "Complete", "In Progress"))</f>
        <v>#REF!</v>
      </c>
      <c r="CD27" s="24"/>
      <c r="CE27" s="25">
        <f>SUMPRODUCT($H$60:AY$60,$H27:AY27)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str">
        <f t="shared" ca="1" si="23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IF(SUMPRODUCT($J$60:K$60,$J28:K28)&lt;0.5,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IF(SUMPRODUCT($J$60:N$60,$J28:N28)&lt;0.5,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IF(SUMPRODUCT($J$60:Q$60,$J28:Q28)&lt;0.5,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IF(SUMPRODUCT($J$60:T$60,$J28:T28)&lt;0.5,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IF(SUMPRODUCT($J$60:W$60,$J28:W28)&lt;0.5,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IF(SUMPRODUCT($J$60:Z$60,$J28:Z28)&lt;0.5,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IF(SUMPRODUCT($J$60:AC$60,$J28:AC28)&lt;0.5,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IF(SUMPRODUCT($J$60:AF$60,$J28:AF28)&lt;0.5,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IF(SUMPRODUCT($J$60:AI$60,$J28:AI28)&lt;0.5,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IF(SUMPRODUCT($J$60:AL$60,$J28:AL28)&lt;0.5,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IF(SUMPRODUCT($J$60:AO$60,$J28:AO28)&lt;0.5,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IF(SUMPRODUCT($J$60:AR$60,$J28:AR28)&lt;0.5,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IF(SUMPRODUCT($J$60:AU$60,$J28:AU28)&lt;0.5,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IF(SUMPRODUCT($J$60:AX$60,$J28:AX28)&lt;0.5,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IF(SUMPRODUCT($J$60:BA$60,$J28:BA28)&lt;0.5,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IF(SUMPRODUCT($J$60:BD$60,$J28:BD28)&lt;0.5,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IF(SUMPRODUCT($J$60:BG$60,$J28:BG28)&lt;0.5,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IF(SUMPRODUCT($J$60:BJ$60,$J28:BJ28)&lt;0.5,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IF(SUMPRODUCT($J$60:BM$60,$J28:BM28)&lt;0.5,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IF(SUMPRODUCT($J$60:BP$60,$J28:BP28)&lt;0.5,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IF(SUMPRODUCT($J$60:BS$60,$J28:BS28)&lt;0.5,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IF(SUMPRODUCT($J$60:BV$60,$J28:BV28)&lt;0.5,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IF(SUMPRODUCT($J$60:BY$60,$J28:BY28)&lt;0.5,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IF(SUMPRODUCT($J$60:CB$60,$J28:CB28)&lt;0.5, "Pending", IF(CB28&lt;0.5, "Complete", "In Progress"))</f>
        <v>#REF!</v>
      </c>
      <c r="CD28" s="24"/>
      <c r="CE28" s="25">
        <f>SUMPRODUCT($H$60:AY$60,$H28:AY28)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str">
        <f t="shared" ca="1" si="23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IF(SUMPRODUCT($J$60:K$60,$J29:K29)&lt;0.5,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IF(SUMPRODUCT($J$60:N$60,$J29:N29)&lt;0.5,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IF(SUMPRODUCT($J$60:Q$60,$J29:Q29)&lt;0.5,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IF(SUMPRODUCT($J$60:T$60,$J29:T29)&lt;0.5,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IF(SUMPRODUCT($J$60:W$60,$J29:W29)&lt;0.5,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IF(SUMPRODUCT($J$60:Z$60,$J29:Z29)&lt;0.5,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IF(SUMPRODUCT($J$60:AC$60,$J29:AC29)&lt;0.5,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IF(SUMPRODUCT($J$60:AF$60,$J29:AF29)&lt;0.5,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IF(SUMPRODUCT($J$60:AI$60,$J29:AI29)&lt;0.5,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IF(SUMPRODUCT($J$60:AL$60,$J29:AL29)&lt;0.5,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IF(SUMPRODUCT($J$60:AO$60,$J29:AO29)&lt;0.5,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IF(SUMPRODUCT($J$60:AR$60,$J29:AR29)&lt;0.5,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IF(SUMPRODUCT($J$60:AU$60,$J29:AU29)&lt;0.5,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IF(SUMPRODUCT($J$60:AX$60,$J29:AX29)&lt;0.5,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IF(SUMPRODUCT($J$60:BA$60,$J29:BA29)&lt;0.5,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IF(SUMPRODUCT($J$60:BD$60,$J29:BD29)&lt;0.5,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IF(SUMPRODUCT($J$60:BG$60,$J29:BG29)&lt;0.5,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IF(SUMPRODUCT($J$60:BJ$60,$J29:BJ29)&lt;0.5,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IF(SUMPRODUCT($J$60:BM$60,$J29:BM29)&lt;0.5,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IF(SUMPRODUCT($J$60:BP$60,$J29:BP29)&lt;0.5,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IF(SUMPRODUCT($J$60:BS$60,$J29:BS29)&lt;0.5,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IF(SUMPRODUCT($J$60:BV$60,$J29:BV29)&lt;0.5,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IF(SUMPRODUCT($J$60:BY$60,$J29:BY29)&lt;0.5,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IF(SUMPRODUCT($J$60:CB$60,$J29:CB29)&lt;0.5, "Pending", IF(CB29&lt;0.5, "Complete", "In Progress"))</f>
        <v>#REF!</v>
      </c>
      <c r="CD29" s="24"/>
      <c r="CE29" s="25">
        <f>SUMPRODUCT($H$60:AY$60,$H29:AY29)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23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IF(SUMPRODUCT($J$60:K$60,$J30:K30)&lt;0.5,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IF(SUMPRODUCT($J$60:N$60,$J30:N30)&lt;0.5,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IF(SUMPRODUCT($J$60:Q$60,$J30:Q30)&lt;0.5,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IF(SUMPRODUCT($J$60:T$60,$J30:T30)&lt;0.5,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IF(SUMPRODUCT($J$60:W$60,$J30:W30)&lt;0.5,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IF(SUMPRODUCT($J$60:Z$60,$J30:Z30)&lt;0.5,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IF(SUMPRODUCT($J$60:AC$60,$J30:AC30)&lt;0.5,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IF(SUMPRODUCT($J$60:AF$60,$J30:AF30)&lt;0.5,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IF(SUMPRODUCT($J$60:AI$60,$J30:AI30)&lt;0.5,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IF(SUMPRODUCT($J$60:AL$60,$J30:AL30)&lt;0.5,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IF(SUMPRODUCT($J$60:AO$60,$J30:AO30)&lt;0.5,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IF(SUMPRODUCT($J$60:AR$60,$J30:AR30)&lt;0.5,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IF(SUMPRODUCT($J$60:AU$60,$J30:AU30)&lt;0.5,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IF(SUMPRODUCT($J$60:AX$60,$J30:AX30)&lt;0.5,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IF(SUMPRODUCT($J$60:BA$60,$J30:BA30)&lt;0.5,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IF(SUMPRODUCT($J$60:BD$60,$J30:BD30)&lt;0.5,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IF(SUMPRODUCT($J$60:BG$60,$J30:BG30)&lt;0.5,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IF(SUMPRODUCT($J$60:BJ$60,$J30:BJ30)&lt;0.5,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IF(SUMPRODUCT($J$60:BM$60,$J30:BM30)&lt;0.5,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IF(SUMPRODUCT($J$60:BP$60,$J30:BP30)&lt;0.5,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IF(SUMPRODUCT($J$60:BS$60,$J30:BS30)&lt;0.5,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IF(SUMPRODUCT($J$60:BV$60,$J30:BV30)&lt;0.5,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IF(SUMPRODUCT($J$60:BY$60,$J30:BY30)&lt;0.5,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IF(SUMPRODUCT($J$60:CB$60,$J30:CB30)&lt;0.5, "Pending", IF(CB30&lt;0.5, "Complete", "In Progress"))</f>
        <v>#REF!</v>
      </c>
      <c r="CD30" s="24"/>
      <c r="CE30" s="25">
        <f>SUMPRODUCT($H$60:AY$60,$H30:AY30)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23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IF(SUMPRODUCT($J$60:K$60,$J31:K31)&lt;0.5,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IF(SUMPRODUCT($J$60:N$60,$J31:N31)&lt;0.5,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IF(SUMPRODUCT($J$60:Q$60,$J31:Q31)&lt;0.5,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IF(SUMPRODUCT($J$60:T$60,$J31:T31)&lt;0.5,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IF(SUMPRODUCT($J$60:W$60,$J31:W31)&lt;0.5,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IF(SUMPRODUCT($J$60:Z$60,$J31:Z31)&lt;0.5,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IF(SUMPRODUCT($J$60:AC$60,$J31:AC31)&lt;0.5,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IF(SUMPRODUCT($J$60:AF$60,$J31:AF31)&lt;0.5,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IF(SUMPRODUCT($J$60:AI$60,$J31:AI31)&lt;0.5,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IF(SUMPRODUCT($J$60:AL$60,$J31:AL31)&lt;0.5,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IF(SUMPRODUCT($J$60:AO$60,$J31:AO31)&lt;0.5,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IF(SUMPRODUCT($J$60:AR$60,$J31:AR31)&lt;0.5,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IF(SUMPRODUCT($J$60:AU$60,$J31:AU31)&lt;0.5,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IF(SUMPRODUCT($J$60:AX$60,$J31:AX31)&lt;0.5,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IF(SUMPRODUCT($J$60:BA$60,$J31:BA31)&lt;0.5,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IF(SUMPRODUCT($J$60:BD$60,$J31:BD31)&lt;0.5,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IF(SUMPRODUCT($J$60:BG$60,$J31:BG31)&lt;0.5,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IF(SUMPRODUCT($J$60:BJ$60,$J31:BJ31)&lt;0.5,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IF(SUMPRODUCT($J$60:BM$60,$J31:BM31)&lt;0.5,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IF(SUMPRODUCT($J$60:BP$60,$J31:BP31)&lt;0.5,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IF(SUMPRODUCT($J$60:BS$60,$J31:BS31)&lt;0.5,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IF(SUMPRODUCT($J$60:BV$60,$J31:BV31)&lt;0.5,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IF(SUMPRODUCT($J$60:BY$60,$J31:BY31)&lt;0.5,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IF(SUMPRODUCT($J$60:CB$60,$J31:CB31)&lt;0.5, "Pending", IF(CB31&lt;0.5, "Complete", "In Progress"))</f>
        <v>#REF!</v>
      </c>
      <c r="CD31" s="24"/>
      <c r="CE31" s="25">
        <f>SUMPRODUCT($H$60:AY$60,$H31:AY31)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23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IF(SUMPRODUCT($J$60:K$60,$J32:K32)&lt;0.5,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IF(SUMPRODUCT($J$60:N$60,$J32:N32)&lt;0.5,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IF(SUMPRODUCT($J$60:Q$60,$J32:Q32)&lt;0.5,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IF(SUMPRODUCT($J$60:T$60,$J32:T32)&lt;0.5,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IF(SUMPRODUCT($J$60:W$60,$J32:W32)&lt;0.5,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IF(SUMPRODUCT($J$60:Z$60,$J32:Z32)&lt;0.5,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IF(SUMPRODUCT($J$60:AC$60,$J32:AC32)&lt;0.5,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IF(SUMPRODUCT($J$60:AF$60,$J32:AF32)&lt;0.5,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IF(SUMPRODUCT($J$60:AI$60,$J32:AI32)&lt;0.5,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IF(SUMPRODUCT($J$60:AL$60,$J32:AL32)&lt;0.5,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IF(SUMPRODUCT($J$60:AO$60,$J32:AO32)&lt;0.5,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IF(SUMPRODUCT($J$60:AR$60,$J32:AR32)&lt;0.5,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IF(SUMPRODUCT($J$60:AU$60,$J32:AU32)&lt;0.5,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IF(SUMPRODUCT($J$60:AX$60,$J32:AX32)&lt;0.5,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IF(SUMPRODUCT($J$60:BA$60,$J32:BA32)&lt;0.5,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IF(SUMPRODUCT($J$60:BD$60,$J32:BD32)&lt;0.5,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IF(SUMPRODUCT($J$60:BG$60,$J32:BG32)&lt;0.5,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IF(SUMPRODUCT($J$60:BJ$60,$J32:BJ32)&lt;0.5,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IF(SUMPRODUCT($J$60:BM$60,$J32:BM32)&lt;0.5,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IF(SUMPRODUCT($J$60:BP$60,$J32:BP32)&lt;0.5,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IF(SUMPRODUCT($J$60:BS$60,$J32:BS32)&lt;0.5,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IF(SUMPRODUCT($J$60:BV$60,$J32:BV32)&lt;0.5,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IF(SUMPRODUCT($J$60:BY$60,$J32:BY32)&lt;0.5,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IF(SUMPRODUCT($J$60:CB$60,$J32:CB32)&lt;0.5, "Pending", IF(CB32&lt;0.5, "Complete", "In Progress"))</f>
        <v>#REF!</v>
      </c>
      <c r="CD32" s="24"/>
      <c r="CE32" s="25">
        <f>SUMPRODUCT($H$60:AY$60,$H32:AY32)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23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IF(SUMPRODUCT($J$60:K$60,$J33:K33)&lt;0.5,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IF(SUMPRODUCT($J$60:N$60,$J33:N33)&lt;0.5,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IF(SUMPRODUCT($J$60:Q$60,$J33:Q33)&lt;0.5,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IF(SUMPRODUCT($J$60:T$60,$J33:T33)&lt;0.5,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IF(SUMPRODUCT($J$60:W$60,$J33:W33)&lt;0.5,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IF(SUMPRODUCT($J$60:Z$60,$J33:Z33)&lt;0.5,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IF(SUMPRODUCT($J$60:AC$60,$J33:AC33)&lt;0.5,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IF(SUMPRODUCT($J$60:AF$60,$J33:AF33)&lt;0.5,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IF(SUMPRODUCT($J$60:AI$60,$J33:AI33)&lt;0.5,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IF(SUMPRODUCT($J$60:AL$60,$J33:AL33)&lt;0.5,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IF(SUMPRODUCT($J$60:AO$60,$J33:AO33)&lt;0.5,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IF(SUMPRODUCT($J$60:AR$60,$J33:AR33)&lt;0.5,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IF(SUMPRODUCT($J$60:AU$60,$J33:AU33)&lt;0.5,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IF(SUMPRODUCT($J$60:AX$60,$J33:AX33)&lt;0.5,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IF(SUMPRODUCT($J$60:BA$60,$J33:BA33)&lt;0.5,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IF(SUMPRODUCT($J$60:BD$60,$J33:BD33)&lt;0.5,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IF(SUMPRODUCT($J$60:BG$60,$J33:BG33)&lt;0.5,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IF(SUMPRODUCT($J$60:BJ$60,$J33:BJ33)&lt;0.5,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IF(SUMPRODUCT($J$60:BM$60,$J33:BM33)&lt;0.5,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IF(SUMPRODUCT($J$60:BP$60,$J33:BP33)&lt;0.5,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IF(SUMPRODUCT($J$60:BS$60,$J33:BS33)&lt;0.5,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IF(SUMPRODUCT($J$60:BV$60,$J33:BV33)&lt;0.5,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IF(SUMPRODUCT($J$60:BY$60,$J33:BY33)&lt;0.5,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IF(SUMPRODUCT($J$60:CB$60,$J33:CB33)&lt;0.5, "Pending", IF(CB33&lt;0.5, "Complete", "In Progress"))</f>
        <v>#REF!</v>
      </c>
      <c r="CD33" s="24"/>
      <c r="CE33" s="25">
        <f>SUMPRODUCT($H$60:AY$60,$H33:AY33)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23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IF(SUMPRODUCT($J$60:K$60,$J34:K34)&lt;0.5,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IF(SUMPRODUCT($J$60:N$60,$J34:N34)&lt;0.5,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IF(SUMPRODUCT($J$60:Q$60,$J34:Q34)&lt;0.5,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IF(SUMPRODUCT($J$60:T$60,$J34:T34)&lt;0.5,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IF(SUMPRODUCT($J$60:W$60,$J34:W34)&lt;0.5,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IF(SUMPRODUCT($J$60:Z$60,$J34:Z34)&lt;0.5,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IF(SUMPRODUCT($J$60:AC$60,$J34:AC34)&lt;0.5,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IF(SUMPRODUCT($J$60:AF$60,$J34:AF34)&lt;0.5,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IF(SUMPRODUCT($J$60:AI$60,$J34:AI34)&lt;0.5,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IF(SUMPRODUCT($J$60:AL$60,$J34:AL34)&lt;0.5,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IF(SUMPRODUCT($J$60:AO$60,$J34:AO34)&lt;0.5,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IF(SUMPRODUCT($J$60:AR$60,$J34:AR34)&lt;0.5,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IF(SUMPRODUCT($J$60:AU$60,$J34:AU34)&lt;0.5,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IF(SUMPRODUCT($J$60:AX$60,$J34:AX34)&lt;0.5,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IF(SUMPRODUCT($J$60:BA$60,$J34:BA34)&lt;0.5,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IF(SUMPRODUCT($J$60:BD$60,$J34:BD34)&lt;0.5,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IF(SUMPRODUCT($J$60:BG$60,$J34:BG34)&lt;0.5,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IF(SUMPRODUCT($J$60:BJ$60,$J34:BJ34)&lt;0.5,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IF(SUMPRODUCT($J$60:BM$60,$J34:BM34)&lt;0.5,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IF(SUMPRODUCT($J$60:BP$60,$J34:BP34)&lt;0.5,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IF(SUMPRODUCT($J$60:BS$60,$J34:BS34)&lt;0.5,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IF(SUMPRODUCT($J$60:BV$60,$J34:BV34)&lt;0.5,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IF(SUMPRODUCT($J$60:BY$60,$J34:BY34)&lt;0.5,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IF(SUMPRODUCT($J$60:CB$60,$J34:CB34)&lt;0.5, "Pending", IF(CB34&lt;0.5, "Complete", "In Progress"))</f>
        <v>#REF!</v>
      </c>
      <c r="CD34" s="24"/>
      <c r="CE34" s="25">
        <f>SUMPRODUCT($H$60:AY$60,$H34:AY34)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23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IF(SUMPRODUCT($J$60:K$60,$J35:K35)&lt;0.5,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IF(SUMPRODUCT($J$60:N$60,$J35:N35)&lt;0.5,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IF(SUMPRODUCT($J$60:Q$60,$J35:Q35)&lt;0.5,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IF(SUMPRODUCT($J$60:T$60,$J35:T35)&lt;0.5,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IF(SUMPRODUCT($J$60:W$60,$J35:W35)&lt;0.5,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IF(SUMPRODUCT($J$60:Z$60,$J35:Z35)&lt;0.5,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IF(SUMPRODUCT($J$60:AC$60,$J35:AC35)&lt;0.5,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IF(SUMPRODUCT($J$60:AF$60,$J35:AF35)&lt;0.5,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IF(SUMPRODUCT($J$60:AI$60,$J35:AI35)&lt;0.5,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IF(SUMPRODUCT($J$60:AL$60,$J35:AL35)&lt;0.5,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IF(SUMPRODUCT($J$60:AO$60,$J35:AO35)&lt;0.5,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IF(SUMPRODUCT($J$60:AR$60,$J35:AR35)&lt;0.5,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IF(SUMPRODUCT($J$60:AU$60,$J35:AU35)&lt;0.5,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IF(SUMPRODUCT($J$60:AX$60,$J35:AX35)&lt;0.5,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IF(SUMPRODUCT($J$60:BA$60,$J35:BA35)&lt;0.5,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IF(SUMPRODUCT($J$60:BD$60,$J35:BD35)&lt;0.5,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IF(SUMPRODUCT($J$60:BG$60,$J35:BG35)&lt;0.5,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IF(SUMPRODUCT($J$60:BJ$60,$J35:BJ35)&lt;0.5,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IF(SUMPRODUCT($J$60:BM$60,$J35:BM35)&lt;0.5,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IF(SUMPRODUCT($J$60:BP$60,$J35:BP35)&lt;0.5,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IF(SUMPRODUCT($J$60:BS$60,$J35:BS35)&lt;0.5,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IF(SUMPRODUCT($J$60:BV$60,$J35:BV35)&lt;0.5,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IF(SUMPRODUCT($J$60:BY$60,$J35:BY35)&lt;0.5,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IF(SUMPRODUCT($J$60:CB$60,$J35:CB35)&lt;0.5, "Pending", IF(CB35&lt;0.5, "Complete", "In Progress"))</f>
        <v>#REF!</v>
      </c>
      <c r="CD35" s="24"/>
      <c r="CE35" s="25">
        <f>SUMPRODUCT($H$60:AY$60,$H35:AY35)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23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IF(SUMPRODUCT($J$60:K$60,$J36:K36)&lt;0.5,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IF(SUMPRODUCT($J$60:N$60,$J36:N36)&lt;0.5,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IF(SUMPRODUCT($J$60:Q$60,$J36:Q36)&lt;0.5,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IF(SUMPRODUCT($J$60:T$60,$J36:T36)&lt;0.5,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IF(SUMPRODUCT($J$60:W$60,$J36:W36)&lt;0.5,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IF(SUMPRODUCT($J$60:Z$60,$J36:Z36)&lt;0.5,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IF(SUMPRODUCT($J$60:AC$60,$J36:AC36)&lt;0.5,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IF(SUMPRODUCT($J$60:AF$60,$J36:AF36)&lt;0.5,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IF(SUMPRODUCT($J$60:AI$60,$J36:AI36)&lt;0.5,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IF(SUMPRODUCT($J$60:AL$60,$J36:AL36)&lt;0.5,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IF(SUMPRODUCT($J$60:AO$60,$J36:AO36)&lt;0.5,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IF(SUMPRODUCT($J$60:AR$60,$J36:AR36)&lt;0.5,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IF(SUMPRODUCT($J$60:AU$60,$J36:AU36)&lt;0.5,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IF(SUMPRODUCT($J$60:AX$60,$J36:AX36)&lt;0.5,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IF(SUMPRODUCT($J$60:BA$60,$J36:BA36)&lt;0.5,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IF(SUMPRODUCT($J$60:BD$60,$J36:BD36)&lt;0.5,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IF(SUMPRODUCT($J$60:BG$60,$J36:BG36)&lt;0.5,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IF(SUMPRODUCT($J$60:BJ$60,$J36:BJ36)&lt;0.5,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IF(SUMPRODUCT($J$60:BM$60,$J36:BM36)&lt;0.5,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IF(SUMPRODUCT($J$60:BP$60,$J36:BP36)&lt;0.5,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IF(SUMPRODUCT($J$60:BS$60,$J36:BS36)&lt;0.5,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IF(SUMPRODUCT($J$60:BV$60,$J36:BV36)&lt;0.5,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IF(SUMPRODUCT($J$60:BY$60,$J36:BY36)&lt;0.5,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IF(SUMPRODUCT($J$60:CB$60,$J36:CB36)&lt;0.5, "Pending", IF(CB36&lt;0.5, "Complete", "In Progress"))</f>
        <v>#REF!</v>
      </c>
      <c r="CD36" s="24"/>
      <c r="CE36" s="25">
        <f>SUMPRODUCT($H$60:AY$60,$H36:AY36)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23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IF(SUMPRODUCT($J$60:K$60,$J37:K37)&lt;0.5,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IF(SUMPRODUCT($J$60:N$60,$J37:N37)&lt;0.5,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IF(SUMPRODUCT($J$60:Q$60,$J37:Q37)&lt;0.5,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IF(SUMPRODUCT($J$60:T$60,$J37:T37)&lt;0.5,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IF(SUMPRODUCT($J$60:W$60,$J37:W37)&lt;0.5,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IF(SUMPRODUCT($J$60:Z$60,$J37:Z37)&lt;0.5,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IF(SUMPRODUCT($J$60:AC$60,$J37:AC37)&lt;0.5,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IF(SUMPRODUCT($J$60:AF$60,$J37:AF37)&lt;0.5,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IF(SUMPRODUCT($J$60:AI$60,$J37:AI37)&lt;0.5,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IF(SUMPRODUCT($J$60:AL$60,$J37:AL37)&lt;0.5,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IF(SUMPRODUCT($J$60:AO$60,$J37:AO37)&lt;0.5,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IF(SUMPRODUCT($J$60:AR$60,$J37:AR37)&lt;0.5,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IF(SUMPRODUCT($J$60:AU$60,$J37:AU37)&lt;0.5,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IF(SUMPRODUCT($J$60:AX$60,$J37:AX37)&lt;0.5,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IF(SUMPRODUCT($J$60:BA$60,$J37:BA37)&lt;0.5,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IF(SUMPRODUCT($J$60:BD$60,$J37:BD37)&lt;0.5,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IF(SUMPRODUCT($J$60:BG$60,$J37:BG37)&lt;0.5,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IF(SUMPRODUCT($J$60:BJ$60,$J37:BJ37)&lt;0.5,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IF(SUMPRODUCT($J$60:BM$60,$J37:BM37)&lt;0.5,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IF(SUMPRODUCT($J$60:BP$60,$J37:BP37)&lt;0.5,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IF(SUMPRODUCT($J$60:BS$60,$J37:BS37)&lt;0.5,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IF(SUMPRODUCT($J$60:BV$60,$J37:BV37)&lt;0.5,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IF(SUMPRODUCT($J$60:BY$60,$J37:BY37)&lt;0.5,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IF(SUMPRODUCT($J$60:CB$60,$J37:CB37)&lt;0.5, "Pending", IF(CB37&lt;0.5, "Complete", "In Progress"))</f>
        <v>#REF!</v>
      </c>
      <c r="CD37" s="24"/>
      <c r="CE37" s="25">
        <f>SUMPRODUCT($H$60:AY$60,$H37:AY37)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23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IF(SUMPRODUCT($J$60:K$60,$J38:K38)&lt;0.5,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IF(SUMPRODUCT($J$60:N$60,$J38:N38)&lt;0.5,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IF(SUMPRODUCT($J$60:Q$60,$J38:Q38)&lt;0.5,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IF(SUMPRODUCT($J$60:T$60,$J38:T38)&lt;0.5,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IF(SUMPRODUCT($J$60:W$60,$J38:W38)&lt;0.5,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IF(SUMPRODUCT($J$60:Z$60,$J38:Z38)&lt;0.5,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IF(SUMPRODUCT($J$60:AC$60,$J38:AC38)&lt;0.5,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IF(SUMPRODUCT($J$60:AF$60,$J38:AF38)&lt;0.5,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IF(SUMPRODUCT($J$60:AI$60,$J38:AI38)&lt;0.5,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IF(SUMPRODUCT($J$60:AL$60,$J38:AL38)&lt;0.5,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IF(SUMPRODUCT($J$60:AO$60,$J38:AO38)&lt;0.5,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IF(SUMPRODUCT($J$60:AR$60,$J38:AR38)&lt;0.5,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IF(SUMPRODUCT($J$60:AU$60,$J38:AU38)&lt;0.5,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IF(SUMPRODUCT($J$60:AX$60,$J38:AX38)&lt;0.5,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IF(SUMPRODUCT($J$60:BA$60,$J38:BA38)&lt;0.5,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IF(SUMPRODUCT($J$60:BD$60,$J38:BD38)&lt;0.5,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IF(SUMPRODUCT($J$60:BG$60,$J38:BG38)&lt;0.5,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IF(SUMPRODUCT($J$60:BJ$60,$J38:BJ38)&lt;0.5,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IF(SUMPRODUCT($J$60:BM$60,$J38:BM38)&lt;0.5,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IF(SUMPRODUCT($J$60:BP$60,$J38:BP38)&lt;0.5,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IF(SUMPRODUCT($J$60:BS$60,$J38:BS38)&lt;0.5,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IF(SUMPRODUCT($J$60:BV$60,$J38:BV38)&lt;0.5,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IF(SUMPRODUCT($J$60:BY$60,$J38:BY38)&lt;0.5,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IF(SUMPRODUCT($J$60:CB$60,$J38:CB38)&lt;0.5, "Pending", IF(CB38&lt;0.5, "Complete", "In Progress"))</f>
        <v>#REF!</v>
      </c>
      <c r="CD38" s="24"/>
      <c r="CE38" s="25">
        <f>SUMPRODUCT($H$60:AY$60,$H38:AY38)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23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IF(SUMPRODUCT($J$60:K$60,$J39:K39)&lt;0.5,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IF(SUMPRODUCT($J$60:N$60,$J39:N39)&lt;0.5,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IF(SUMPRODUCT($J$60:Q$60,$J39:Q39)&lt;0.5,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IF(SUMPRODUCT($J$60:T$60,$J39:T39)&lt;0.5,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IF(SUMPRODUCT($J$60:W$60,$J39:W39)&lt;0.5,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IF(SUMPRODUCT($J$60:Z$60,$J39:Z39)&lt;0.5,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IF(SUMPRODUCT($J$60:AC$60,$J39:AC39)&lt;0.5,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IF(SUMPRODUCT($J$60:AF$60,$J39:AF39)&lt;0.5,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IF(SUMPRODUCT($J$60:AI$60,$J39:AI39)&lt;0.5,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IF(SUMPRODUCT($J$60:AL$60,$J39:AL39)&lt;0.5,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IF(SUMPRODUCT($J$60:AO$60,$J39:AO39)&lt;0.5,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IF(SUMPRODUCT($J$60:AR$60,$J39:AR39)&lt;0.5,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IF(SUMPRODUCT($J$60:AU$60,$J39:AU39)&lt;0.5,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IF(SUMPRODUCT($J$60:AX$60,$J39:AX39)&lt;0.5,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IF(SUMPRODUCT($J$60:BA$60,$J39:BA39)&lt;0.5,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IF(SUMPRODUCT($J$60:BD$60,$J39:BD39)&lt;0.5,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IF(SUMPRODUCT($J$60:BG$60,$J39:BG39)&lt;0.5,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IF(SUMPRODUCT($J$60:BJ$60,$J39:BJ39)&lt;0.5,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IF(SUMPRODUCT($J$60:BM$60,$J39:BM39)&lt;0.5,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IF(SUMPRODUCT($J$60:BP$60,$J39:BP39)&lt;0.5,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IF(SUMPRODUCT($J$60:BS$60,$J39:BS39)&lt;0.5,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IF(SUMPRODUCT($J$60:BV$60,$J39:BV39)&lt;0.5,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IF(SUMPRODUCT($J$60:BY$60,$J39:BY39)&lt;0.5,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IF(SUMPRODUCT($J$60:CB$60,$J39:CB39)&lt;0.5, "Pending", IF(CB39&lt;0.5, "Complete", "In Progress"))</f>
        <v>#REF!</v>
      </c>
      <c r="CD39" s="24"/>
      <c r="CE39" s="25">
        <f>SUMPRODUCT($H$60:AY$60,$H39:AY39)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23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IF(SUMPRODUCT($J$60:K$60,$J40:K40)&lt;0.5,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IF(SUMPRODUCT($J$60:N$60,$J40:N40)&lt;0.5,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IF(SUMPRODUCT($J$60:Q$60,$J40:Q40)&lt;0.5,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IF(SUMPRODUCT($J$60:T$60,$J40:T40)&lt;0.5,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IF(SUMPRODUCT($J$60:W$60,$J40:W40)&lt;0.5,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IF(SUMPRODUCT($J$60:Z$60,$J40:Z40)&lt;0.5,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IF(SUMPRODUCT($J$60:AC$60,$J40:AC40)&lt;0.5,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IF(SUMPRODUCT($J$60:AF$60,$J40:AF40)&lt;0.5,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IF(SUMPRODUCT($J$60:AI$60,$J40:AI40)&lt;0.5,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IF(SUMPRODUCT($J$60:AL$60,$J40:AL40)&lt;0.5,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IF(SUMPRODUCT($J$60:AO$60,$J40:AO40)&lt;0.5,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IF(SUMPRODUCT($J$60:AR$60,$J40:AR40)&lt;0.5,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IF(SUMPRODUCT($J$60:AU$60,$J40:AU40)&lt;0.5,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IF(SUMPRODUCT($J$60:AX$60,$J40:AX40)&lt;0.5,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IF(SUMPRODUCT($J$60:BA$60,$J40:BA40)&lt;0.5,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IF(SUMPRODUCT($J$60:BD$60,$J40:BD40)&lt;0.5,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IF(SUMPRODUCT($J$60:BG$60,$J40:BG40)&lt;0.5,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IF(SUMPRODUCT($J$60:BJ$60,$J40:BJ40)&lt;0.5,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IF(SUMPRODUCT($J$60:BM$60,$J40:BM40)&lt;0.5,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IF(SUMPRODUCT($J$60:BP$60,$J40:BP40)&lt;0.5,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IF(SUMPRODUCT($J$60:BS$60,$J40:BS40)&lt;0.5,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IF(SUMPRODUCT($J$60:BV$60,$J40:BV40)&lt;0.5,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IF(SUMPRODUCT($J$60:BY$60,$J40:BY40)&lt;0.5,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IF(SUMPRODUCT($J$60:CB$60,$J40:CB40)&lt;0.5, "Pending", IF(CB40&lt;0.5, "Complete", "In Progress"))</f>
        <v>#REF!</v>
      </c>
      <c r="CD40" s="24"/>
      <c r="CE40" s="25">
        <f>SUMPRODUCT($H$60:AY$60,$H40:AY40)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23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IF(SUMPRODUCT($J$60:K$60,$J41:K41)&lt;0.5,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IF(SUMPRODUCT($J$60:N$60,$J41:N41)&lt;0.5,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IF(SUMPRODUCT($J$60:Q$60,$J41:Q41)&lt;0.5,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IF(SUMPRODUCT($J$60:T$60,$J41:T41)&lt;0.5,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IF(SUMPRODUCT($J$60:W$60,$J41:W41)&lt;0.5,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IF(SUMPRODUCT($J$60:Z$60,$J41:Z41)&lt;0.5,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IF(SUMPRODUCT($J$60:AC$60,$J41:AC41)&lt;0.5,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IF(SUMPRODUCT($J$60:AF$60,$J41:AF41)&lt;0.5,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IF(SUMPRODUCT($J$60:AI$60,$J41:AI41)&lt;0.5,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IF(SUMPRODUCT($J$60:AL$60,$J41:AL41)&lt;0.5,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IF(SUMPRODUCT($J$60:AO$60,$J41:AO41)&lt;0.5,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IF(SUMPRODUCT($J$60:AR$60,$J41:AR41)&lt;0.5,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IF(SUMPRODUCT($J$60:AU$60,$J41:AU41)&lt;0.5,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IF(SUMPRODUCT($J$60:AX$60,$J41:AX41)&lt;0.5,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IF(SUMPRODUCT($J$60:BA$60,$J41:BA41)&lt;0.5,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IF(SUMPRODUCT($J$60:BD$60,$J41:BD41)&lt;0.5,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IF(SUMPRODUCT($J$60:BG$60,$J41:BG41)&lt;0.5,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IF(SUMPRODUCT($J$60:BJ$60,$J41:BJ41)&lt;0.5,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IF(SUMPRODUCT($J$60:BM$60,$J41:BM41)&lt;0.5,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IF(SUMPRODUCT($J$60:BP$60,$J41:BP41)&lt;0.5,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IF(SUMPRODUCT($J$60:BS$60,$J41:BS41)&lt;0.5,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IF(SUMPRODUCT($J$60:BV$60,$J41:BV41)&lt;0.5,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IF(SUMPRODUCT($J$60:BY$60,$J41:BY41)&lt;0.5,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IF(SUMPRODUCT($J$60:CB$60,$J41:CB41)&lt;0.5, "Pending", IF(CB41&lt;0.5, "Complete", "In Progress"))</f>
        <v>#REF!</v>
      </c>
      <c r="CD41" s="24"/>
      <c r="CE41" s="25">
        <f>SUMPRODUCT($H$60:AY$60,$H41:AY41)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23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IF(SUMPRODUCT($J$60:K$60,$J42:K42)&lt;0.5,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IF(SUMPRODUCT($J$60:N$60,$J42:N42)&lt;0.5,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IF(SUMPRODUCT($J$60:Q$60,$J42:Q42)&lt;0.5,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IF(SUMPRODUCT($J$60:T$60,$J42:T42)&lt;0.5,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IF(SUMPRODUCT($J$60:W$60,$J42:W42)&lt;0.5,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IF(SUMPRODUCT($J$60:Z$60,$J42:Z42)&lt;0.5,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IF(SUMPRODUCT($J$60:AC$60,$J42:AC42)&lt;0.5,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IF(SUMPRODUCT($J$60:AF$60,$J42:AF42)&lt;0.5,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IF(SUMPRODUCT($J$60:AI$60,$J42:AI42)&lt;0.5,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IF(SUMPRODUCT($J$60:AL$60,$J42:AL42)&lt;0.5,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IF(SUMPRODUCT($J$60:AO$60,$J42:AO42)&lt;0.5,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IF(SUMPRODUCT($J$60:AR$60,$J42:AR42)&lt;0.5,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IF(SUMPRODUCT($J$60:AU$60,$J42:AU42)&lt;0.5,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IF(SUMPRODUCT($J$60:AX$60,$J42:AX42)&lt;0.5,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IF(SUMPRODUCT($J$60:BA$60,$J42:BA42)&lt;0.5,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IF(SUMPRODUCT($J$60:BD$60,$J42:BD42)&lt;0.5,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IF(SUMPRODUCT($J$60:BG$60,$J42:BG42)&lt;0.5,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IF(SUMPRODUCT($J$60:BJ$60,$J42:BJ42)&lt;0.5,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IF(SUMPRODUCT($J$60:BM$60,$J42:BM42)&lt;0.5,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IF(SUMPRODUCT($J$60:BP$60,$J42:BP42)&lt;0.5,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IF(SUMPRODUCT($J$60:BS$60,$J42:BS42)&lt;0.5,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IF(SUMPRODUCT($J$60:BV$60,$J42:BV42)&lt;0.5,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IF(SUMPRODUCT($J$60:BY$60,$J42:BY42)&lt;0.5,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IF(SUMPRODUCT($J$60:CB$60,$J42:CB42)&lt;0.5, "Pending", IF(CB42&lt;0.5, "Complete", "In Progress"))</f>
        <v>#REF!</v>
      </c>
      <c r="CD42" s="24"/>
      <c r="CE42" s="25">
        <f>SUMPRODUCT($H$60:AY$60,$H42:AY42)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23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IF(SUMPRODUCT($J$60:K$60,$J43:K43)&lt;0.5,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IF(SUMPRODUCT($J$60:N$60,$J43:N43)&lt;0.5,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IF(SUMPRODUCT($J$60:Q$60,$J43:Q43)&lt;0.5,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IF(SUMPRODUCT($J$60:T$60,$J43:T43)&lt;0.5,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IF(SUMPRODUCT($J$60:W$60,$J43:W43)&lt;0.5,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IF(SUMPRODUCT($J$60:Z$60,$J43:Z43)&lt;0.5,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IF(SUMPRODUCT($J$60:AC$60,$J43:AC43)&lt;0.5,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IF(SUMPRODUCT($J$60:AF$60,$J43:AF43)&lt;0.5,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IF(SUMPRODUCT($J$60:AI$60,$J43:AI43)&lt;0.5,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IF(SUMPRODUCT($J$60:AL$60,$J43:AL43)&lt;0.5,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IF(SUMPRODUCT($J$60:AO$60,$J43:AO43)&lt;0.5,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IF(SUMPRODUCT($J$60:AR$60,$J43:AR43)&lt;0.5,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IF(SUMPRODUCT($J$60:AU$60,$J43:AU43)&lt;0.5,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IF(SUMPRODUCT($J$60:AX$60,$J43:AX43)&lt;0.5,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IF(SUMPRODUCT($J$60:BA$60,$J43:BA43)&lt;0.5,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IF(SUMPRODUCT($J$60:BD$60,$J43:BD43)&lt;0.5,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IF(SUMPRODUCT($J$60:BG$60,$J43:BG43)&lt;0.5,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IF(SUMPRODUCT($J$60:BJ$60,$J43:BJ43)&lt;0.5,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IF(SUMPRODUCT($J$60:BM$60,$J43:BM43)&lt;0.5,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IF(SUMPRODUCT($J$60:BP$60,$J43:BP43)&lt;0.5,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IF(SUMPRODUCT($J$60:BS$60,$J43:BS43)&lt;0.5,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IF(SUMPRODUCT($J$60:BV$60,$J43:BV43)&lt;0.5,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IF(SUMPRODUCT($J$60:BY$60,$J43:BY43)&lt;0.5,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IF(SUMPRODUCT($J$60:CB$60,$J43:CB43)&lt;0.5, "Pending", IF(CB43&lt;0.5, "Complete", "In Progress"))</f>
        <v>#REF!</v>
      </c>
      <c r="CD43" s="24"/>
      <c r="CE43" s="25">
        <f>SUMPRODUCT($H$60:AY$60,$H43:AY43)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23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IF(SUMPRODUCT($J$60:K$60,$J44:K44)&lt;0.5,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IF(SUMPRODUCT($J$60:N$60,$J44:N44)&lt;0.5,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IF(SUMPRODUCT($J$60:Q$60,$J44:Q44)&lt;0.5,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IF(SUMPRODUCT($J$60:T$60,$J44:T44)&lt;0.5,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IF(SUMPRODUCT($J$60:W$60,$J44:W44)&lt;0.5,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IF(SUMPRODUCT($J$60:Z$60,$J44:Z44)&lt;0.5,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IF(SUMPRODUCT($J$60:AC$60,$J44:AC44)&lt;0.5,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IF(SUMPRODUCT($J$60:AF$60,$J44:AF44)&lt;0.5,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IF(SUMPRODUCT($J$60:AI$60,$J44:AI44)&lt;0.5,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IF(SUMPRODUCT($J$60:AL$60,$J44:AL44)&lt;0.5,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IF(SUMPRODUCT($J$60:AO$60,$J44:AO44)&lt;0.5,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IF(SUMPRODUCT($J$60:AR$60,$J44:AR44)&lt;0.5,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IF(SUMPRODUCT($J$60:AU$60,$J44:AU44)&lt;0.5,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IF(SUMPRODUCT($J$60:AX$60,$J44:AX44)&lt;0.5,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IF(SUMPRODUCT($J$60:BA$60,$J44:BA44)&lt;0.5,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IF(SUMPRODUCT($J$60:BD$60,$J44:BD44)&lt;0.5,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IF(SUMPRODUCT($J$60:BG$60,$J44:BG44)&lt;0.5,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IF(SUMPRODUCT($J$60:BJ$60,$J44:BJ44)&lt;0.5,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IF(SUMPRODUCT($J$60:BM$60,$J44:BM44)&lt;0.5,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IF(SUMPRODUCT($J$60:BP$60,$J44:BP44)&lt;0.5,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IF(SUMPRODUCT($J$60:BS$60,$J44:BS44)&lt;0.5,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IF(SUMPRODUCT($J$60:BV$60,$J44:BV44)&lt;0.5,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IF(SUMPRODUCT($J$60:BY$60,$J44:BY44)&lt;0.5,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IF(SUMPRODUCT($J$60:CB$60,$J44:CB44)&lt;0.5, "Pending", IF(CB44&lt;0.5, "Complete", "In Progress"))</f>
        <v>#REF!</v>
      </c>
      <c r="CD44" s="24"/>
      <c r="CE44" s="25">
        <f>SUMPRODUCT($H$60:AY$60,$H44:AY44)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23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IF(SUMPRODUCT($J$60:K$60,$J45:K45)&lt;0.5,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IF(SUMPRODUCT($J$60:N$60,$J45:N45)&lt;0.5,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IF(SUMPRODUCT($J$60:Q$60,$J45:Q45)&lt;0.5,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IF(SUMPRODUCT($J$60:T$60,$J45:T45)&lt;0.5,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IF(SUMPRODUCT($J$60:W$60,$J45:W45)&lt;0.5,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IF(SUMPRODUCT($J$60:Z$60,$J45:Z45)&lt;0.5,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IF(SUMPRODUCT($J$60:AC$60,$J45:AC45)&lt;0.5,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IF(SUMPRODUCT($J$60:AF$60,$J45:AF45)&lt;0.5,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IF(SUMPRODUCT($J$60:AI$60,$J45:AI45)&lt;0.5,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IF(SUMPRODUCT($J$60:AL$60,$J45:AL45)&lt;0.5,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IF(SUMPRODUCT($J$60:AO$60,$J45:AO45)&lt;0.5,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IF(SUMPRODUCT($J$60:AR$60,$J45:AR45)&lt;0.5,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IF(SUMPRODUCT($J$60:AU$60,$J45:AU45)&lt;0.5,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IF(SUMPRODUCT($J$60:AX$60,$J45:AX45)&lt;0.5,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IF(SUMPRODUCT($J$60:BA$60,$J45:BA45)&lt;0.5,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IF(SUMPRODUCT($J$60:BD$60,$J45:BD45)&lt;0.5,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IF(SUMPRODUCT($J$60:BG$60,$J45:BG45)&lt;0.5,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IF(SUMPRODUCT($J$60:BJ$60,$J45:BJ45)&lt;0.5,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IF(SUMPRODUCT($J$60:BM$60,$J45:BM45)&lt;0.5,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IF(SUMPRODUCT($J$60:BP$60,$J45:BP45)&lt;0.5,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IF(SUMPRODUCT($J$60:BS$60,$J45:BS45)&lt;0.5,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IF(SUMPRODUCT($J$60:BV$60,$J45:BV45)&lt;0.5,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IF(SUMPRODUCT($J$60:BY$60,$J45:BY45)&lt;0.5,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IF(SUMPRODUCT($J$60:CB$60,$J45:CB45)&lt;0.5, "Pending", IF(CB45&lt;0.5, "Complete", "In Progress"))</f>
        <v>#REF!</v>
      </c>
      <c r="CD45" s="24"/>
      <c r="CE45" s="25">
        <f>SUMPRODUCT($H$60:AY$60,$H45:AY45)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23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IF(SUMPRODUCT($J$60:K$60,$J46:K46)&lt;0.5,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IF(SUMPRODUCT($J$60:N$60,$J46:N46)&lt;0.5,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IF(SUMPRODUCT($J$60:Q$60,$J46:Q46)&lt;0.5,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IF(SUMPRODUCT($J$60:T$60,$J46:T46)&lt;0.5,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IF(SUMPRODUCT($J$60:W$60,$J46:W46)&lt;0.5,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IF(SUMPRODUCT($J$60:Z$60,$J46:Z46)&lt;0.5,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IF(SUMPRODUCT($J$60:AC$60,$J46:AC46)&lt;0.5,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IF(SUMPRODUCT($J$60:AF$60,$J46:AF46)&lt;0.5,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IF(SUMPRODUCT($J$60:AI$60,$J46:AI46)&lt;0.5,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IF(SUMPRODUCT($J$60:AL$60,$J46:AL46)&lt;0.5,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IF(SUMPRODUCT($J$60:AO$60,$J46:AO46)&lt;0.5,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IF(SUMPRODUCT($J$60:AR$60,$J46:AR46)&lt;0.5,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IF(SUMPRODUCT($J$60:AU$60,$J46:AU46)&lt;0.5,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IF(SUMPRODUCT($J$60:AX$60,$J46:AX46)&lt;0.5,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IF(SUMPRODUCT($J$60:BA$60,$J46:BA46)&lt;0.5,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IF(SUMPRODUCT($J$60:BD$60,$J46:BD46)&lt;0.5,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IF(SUMPRODUCT($J$60:BG$60,$J46:BG46)&lt;0.5,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IF(SUMPRODUCT($J$60:BJ$60,$J46:BJ46)&lt;0.5,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IF(SUMPRODUCT($J$60:BM$60,$J46:BM46)&lt;0.5,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IF(SUMPRODUCT($J$60:BP$60,$J46:BP46)&lt;0.5,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IF(SUMPRODUCT($J$60:BS$60,$J46:BS46)&lt;0.5,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IF(SUMPRODUCT($J$60:BV$60,$J46:BV46)&lt;0.5,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IF(SUMPRODUCT($J$60:BY$60,$J46:BY46)&lt;0.5,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IF(SUMPRODUCT($J$60:CB$60,$J46:CB46)&lt;0.5, "Pending", IF(CB46&lt;0.5, "Complete", "In Progress"))</f>
        <v>#REF!</v>
      </c>
      <c r="CD46" s="24"/>
      <c r="CE46" s="25">
        <f>SUMPRODUCT($H$60:AY$60,$H46:AY46)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23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IF(SUMPRODUCT($J$60:K$60,$J47:K47)&lt;0.5,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IF(SUMPRODUCT($J$60:N$60,$J47:N47)&lt;0.5,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IF(SUMPRODUCT($J$60:Q$60,$J47:Q47)&lt;0.5,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IF(SUMPRODUCT($J$60:T$60,$J47:T47)&lt;0.5,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IF(SUMPRODUCT($J$60:W$60,$J47:W47)&lt;0.5,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IF(SUMPRODUCT($J$60:Z$60,$J47:Z47)&lt;0.5,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IF(SUMPRODUCT($J$60:AC$60,$J47:AC47)&lt;0.5,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IF(SUMPRODUCT($J$60:AF$60,$J47:AF47)&lt;0.5,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IF(SUMPRODUCT($J$60:AI$60,$J47:AI47)&lt;0.5,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IF(SUMPRODUCT($J$60:AL$60,$J47:AL47)&lt;0.5,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IF(SUMPRODUCT($J$60:AO$60,$J47:AO47)&lt;0.5,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IF(SUMPRODUCT($J$60:AR$60,$J47:AR47)&lt;0.5,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IF(SUMPRODUCT($J$60:AU$60,$J47:AU47)&lt;0.5,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IF(SUMPRODUCT($J$60:AX$60,$J47:AX47)&lt;0.5,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IF(SUMPRODUCT($J$60:BA$60,$J47:BA47)&lt;0.5,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IF(SUMPRODUCT($J$60:BD$60,$J47:BD47)&lt;0.5,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IF(SUMPRODUCT($J$60:BG$60,$J47:BG47)&lt;0.5,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IF(SUMPRODUCT($J$60:BJ$60,$J47:BJ47)&lt;0.5,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IF(SUMPRODUCT($J$60:BM$60,$J47:BM47)&lt;0.5,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IF(SUMPRODUCT($J$60:BP$60,$J47:BP47)&lt;0.5,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IF(SUMPRODUCT($J$60:BS$60,$J47:BS47)&lt;0.5,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IF(SUMPRODUCT($J$60:BV$60,$J47:BV47)&lt;0.5,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IF(SUMPRODUCT($J$60:BY$60,$J47:BY47)&lt;0.5,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IF(SUMPRODUCT($J$60:CB$60,$J47:CB47)&lt;0.5, "Pending", IF(CB47&lt;0.5, "Complete", "In Progress"))</f>
        <v>#REF!</v>
      </c>
      <c r="CD47" s="24"/>
      <c r="CE47" s="25">
        <f>SUMPRODUCT($H$60:AY$60,$H47:AY47)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23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IF(SUMPRODUCT($J$60:K$60,$J48:K48)&lt;0.5,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IF(SUMPRODUCT($J$60:N$60,$J48:N48)&lt;0.5,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IF(SUMPRODUCT($J$60:Q$60,$J48:Q48)&lt;0.5,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IF(SUMPRODUCT($J$60:T$60,$J48:T48)&lt;0.5,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IF(SUMPRODUCT($J$60:W$60,$J48:W48)&lt;0.5,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IF(SUMPRODUCT($J$60:Z$60,$J48:Z48)&lt;0.5,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IF(SUMPRODUCT($J$60:AC$60,$J48:AC48)&lt;0.5,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IF(SUMPRODUCT($J$60:AF$60,$J48:AF48)&lt;0.5,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IF(SUMPRODUCT($J$60:AI$60,$J48:AI48)&lt;0.5,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IF(SUMPRODUCT($J$60:AL$60,$J48:AL48)&lt;0.5,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IF(SUMPRODUCT($J$60:AO$60,$J48:AO48)&lt;0.5,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IF(SUMPRODUCT($J$60:AR$60,$J48:AR48)&lt;0.5,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IF(SUMPRODUCT($J$60:AU$60,$J48:AU48)&lt;0.5,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IF(SUMPRODUCT($J$60:AX$60,$J48:AX48)&lt;0.5,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IF(SUMPRODUCT($J$60:BA$60,$J48:BA48)&lt;0.5,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IF(SUMPRODUCT($J$60:BD$60,$J48:BD48)&lt;0.5,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IF(SUMPRODUCT($J$60:BG$60,$J48:BG48)&lt;0.5,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IF(SUMPRODUCT($J$60:BJ$60,$J48:BJ48)&lt;0.5,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IF(SUMPRODUCT($J$60:BM$60,$J48:BM48)&lt;0.5,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IF(SUMPRODUCT($J$60:BP$60,$J48:BP48)&lt;0.5,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IF(SUMPRODUCT($J$60:BS$60,$J48:BS48)&lt;0.5,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IF(SUMPRODUCT($J$60:BV$60,$J48:BV48)&lt;0.5,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IF(SUMPRODUCT($J$60:BY$60,$J48:BY48)&lt;0.5,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IF(SUMPRODUCT($J$60:CB$60,$J48:CB48)&lt;0.5, "Pending", IF(CB48&lt;0.5, "Complete", "In Progress"))</f>
        <v>#REF!</v>
      </c>
      <c r="CD48" s="24"/>
      <c r="CE48" s="25">
        <f>SUMPRODUCT($H$60:AY$60,$H48:AY48)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23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IF(SUMPRODUCT($J$60:K$60,$J49:K49)&lt;0.5,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IF(SUMPRODUCT($J$60:N$60,$J49:N49)&lt;0.5,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IF(SUMPRODUCT($J$60:Q$60,$J49:Q49)&lt;0.5,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IF(SUMPRODUCT($J$60:T$60,$J49:T49)&lt;0.5,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IF(SUMPRODUCT($J$60:W$60,$J49:W49)&lt;0.5,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IF(SUMPRODUCT($J$60:Z$60,$J49:Z49)&lt;0.5,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IF(SUMPRODUCT($J$60:AC$60,$J49:AC49)&lt;0.5,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IF(SUMPRODUCT($J$60:AF$60,$J49:AF49)&lt;0.5,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IF(SUMPRODUCT($J$60:AI$60,$J49:AI49)&lt;0.5,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IF(SUMPRODUCT($J$60:AL$60,$J49:AL49)&lt;0.5,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IF(SUMPRODUCT($J$60:AO$60,$J49:AO49)&lt;0.5,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IF(SUMPRODUCT($J$60:AR$60,$J49:AR49)&lt;0.5,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IF(SUMPRODUCT($J$60:AU$60,$J49:AU49)&lt;0.5,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IF(SUMPRODUCT($J$60:AX$60,$J49:AX49)&lt;0.5,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IF(SUMPRODUCT($J$60:BA$60,$J49:BA49)&lt;0.5,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IF(SUMPRODUCT($J$60:BD$60,$J49:BD49)&lt;0.5,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IF(SUMPRODUCT($J$60:BG$60,$J49:BG49)&lt;0.5,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IF(SUMPRODUCT($J$60:BJ$60,$J49:BJ49)&lt;0.5,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IF(SUMPRODUCT($J$60:BM$60,$J49:BM49)&lt;0.5,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IF(SUMPRODUCT($J$60:BP$60,$J49:BP49)&lt;0.5,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IF(SUMPRODUCT($J$60:BS$60,$J49:BS49)&lt;0.5,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IF(SUMPRODUCT($J$60:BV$60,$J49:BV49)&lt;0.5,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IF(SUMPRODUCT($J$60:BY$60,$J49:BY49)&lt;0.5,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IF(SUMPRODUCT($J$60:CB$60,$J49:CB49)&lt;0.5, "Pending", IF(CB49&lt;0.5, "Complete", "In Progress"))</f>
        <v>#REF!</v>
      </c>
      <c r="CD49" s="24"/>
      <c r="CE49" s="25">
        <f>SUMPRODUCT($H$60:AY$60,$H49:AY49)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23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IF(SUMPRODUCT($J$60:K$60,$J50:K50)&lt;0.5,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IF(SUMPRODUCT($J$60:N$60,$J50:N50)&lt;0.5,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IF(SUMPRODUCT($J$60:Q$60,$J50:Q50)&lt;0.5,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IF(SUMPRODUCT($J$60:T$60,$J50:T50)&lt;0.5,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IF(SUMPRODUCT($J$60:W$60,$J50:W50)&lt;0.5,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IF(SUMPRODUCT($J$60:Z$60,$J50:Z50)&lt;0.5,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IF(SUMPRODUCT($J$60:AC$60,$J50:AC50)&lt;0.5,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IF(SUMPRODUCT($J$60:AF$60,$J50:AF50)&lt;0.5,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IF(SUMPRODUCT($J$60:AI$60,$J50:AI50)&lt;0.5,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IF(SUMPRODUCT($J$60:AL$60,$J50:AL50)&lt;0.5,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IF(SUMPRODUCT($J$60:AO$60,$J50:AO50)&lt;0.5,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IF(SUMPRODUCT($J$60:AR$60,$J50:AR50)&lt;0.5,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IF(SUMPRODUCT($J$60:AU$60,$J50:AU50)&lt;0.5,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IF(SUMPRODUCT($J$60:AX$60,$J50:AX50)&lt;0.5,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IF(SUMPRODUCT($J$60:BA$60,$J50:BA50)&lt;0.5,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IF(SUMPRODUCT($J$60:BD$60,$J50:BD50)&lt;0.5,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IF(SUMPRODUCT($J$60:BG$60,$J50:BG50)&lt;0.5,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IF(SUMPRODUCT($J$60:BJ$60,$J50:BJ50)&lt;0.5,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IF(SUMPRODUCT($J$60:BM$60,$J50:BM50)&lt;0.5,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IF(SUMPRODUCT($J$60:BP$60,$J50:BP50)&lt;0.5,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IF(SUMPRODUCT($J$60:BS$60,$J50:BS50)&lt;0.5,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IF(SUMPRODUCT($J$60:BV$60,$J50:BV50)&lt;0.5,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IF(SUMPRODUCT($J$60:BY$60,$J50:BY50)&lt;0.5,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IF(SUMPRODUCT($J$60:CB$60,$J50:CB50)&lt;0.5, "Pending", IF(CB50&lt;0.5, "Complete", "In Progress"))</f>
        <v>#REF!</v>
      </c>
      <c r="CD50" s="24"/>
      <c r="CE50" s="25">
        <f>SUMPRODUCT($H$60:AY$60,$H50:AY50)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23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IF(SUMPRODUCT($J$60:K$60,$J51:K51)&lt;0.5,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IF(SUMPRODUCT($J$60:N$60,$J51:N51)&lt;0.5,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IF(SUMPRODUCT($J$60:Q$60,$J51:Q51)&lt;0.5,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IF(SUMPRODUCT($J$60:T$60,$J51:T51)&lt;0.5,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IF(SUMPRODUCT($J$60:W$60,$J51:W51)&lt;0.5,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IF(SUMPRODUCT($J$60:Z$60,$J51:Z51)&lt;0.5,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IF(SUMPRODUCT($J$60:AC$60,$J51:AC51)&lt;0.5,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IF(SUMPRODUCT($J$60:AF$60,$J51:AF51)&lt;0.5,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IF(SUMPRODUCT($J$60:AI$60,$J51:AI51)&lt;0.5,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IF(SUMPRODUCT($J$60:AL$60,$J51:AL51)&lt;0.5,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IF(SUMPRODUCT($J$60:AO$60,$J51:AO51)&lt;0.5,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IF(SUMPRODUCT($J$60:AR$60,$J51:AR51)&lt;0.5,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IF(SUMPRODUCT($J$60:AU$60,$J51:AU51)&lt;0.5,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IF(SUMPRODUCT($J$60:AX$60,$J51:AX51)&lt;0.5,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IF(SUMPRODUCT($J$60:BA$60,$J51:BA51)&lt;0.5,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IF(SUMPRODUCT($J$60:BD$60,$J51:BD51)&lt;0.5,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IF(SUMPRODUCT($J$60:BG$60,$J51:BG51)&lt;0.5,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IF(SUMPRODUCT($J$60:BJ$60,$J51:BJ51)&lt;0.5,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IF(SUMPRODUCT($J$60:BM$60,$J51:BM51)&lt;0.5,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IF(SUMPRODUCT($J$60:BP$60,$J51:BP51)&lt;0.5,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IF(SUMPRODUCT($J$60:BS$60,$J51:BS51)&lt;0.5,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IF(SUMPRODUCT($J$60:BV$60,$J51:BV51)&lt;0.5,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IF(SUMPRODUCT($J$60:BY$60,$J51:BY51)&lt;0.5,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IF(SUMPRODUCT($J$60:CB$60,$J51:CB51)&lt;0.5, "Pending", IF(CB51&lt;0.5, "Complete", "In Progress"))</f>
        <v>#REF!</v>
      </c>
      <c r="CD51" s="24"/>
      <c r="CE51" s="25">
        <f>SUMPRODUCT($H$60:AY$60,$H51:AY51)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23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IF(SUMPRODUCT($J$60:K$60,$J52:K52)&lt;0.5,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IF(SUMPRODUCT($J$60:N$60,$J52:N52)&lt;0.5,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IF(SUMPRODUCT($J$60:Q$60,$J52:Q52)&lt;0.5,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IF(SUMPRODUCT($J$60:T$60,$J52:T52)&lt;0.5,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IF(SUMPRODUCT($J$60:W$60,$J52:W52)&lt;0.5,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IF(SUMPRODUCT($J$60:Z$60,$J52:Z52)&lt;0.5,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IF(SUMPRODUCT($J$60:AC$60,$J52:AC52)&lt;0.5,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IF(SUMPRODUCT($J$60:AF$60,$J52:AF52)&lt;0.5,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IF(SUMPRODUCT($J$60:AI$60,$J52:AI52)&lt;0.5,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IF(SUMPRODUCT($J$60:AL$60,$J52:AL52)&lt;0.5,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IF(SUMPRODUCT($J$60:AO$60,$J52:AO52)&lt;0.5,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IF(SUMPRODUCT($J$60:AR$60,$J52:AR52)&lt;0.5,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IF(SUMPRODUCT($J$60:AU$60,$J52:AU52)&lt;0.5,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IF(SUMPRODUCT($J$60:AX$60,$J52:AX52)&lt;0.5,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IF(SUMPRODUCT($J$60:BA$60,$J52:BA52)&lt;0.5,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IF(SUMPRODUCT($J$60:BD$60,$J52:BD52)&lt;0.5,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IF(SUMPRODUCT($J$60:BG$60,$J52:BG52)&lt;0.5,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IF(SUMPRODUCT($J$60:BJ$60,$J52:BJ52)&lt;0.5,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IF(SUMPRODUCT($J$60:BM$60,$J52:BM52)&lt;0.5,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IF(SUMPRODUCT($J$60:BP$60,$J52:BP52)&lt;0.5,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IF(SUMPRODUCT($J$60:BS$60,$J52:BS52)&lt;0.5,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IF(SUMPRODUCT($J$60:BV$60,$J52:BV52)&lt;0.5,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IF(SUMPRODUCT($J$60:BY$60,$J52:BY52)&lt;0.5,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IF(SUMPRODUCT($J$60:CB$60,$J52:CB52)&lt;0.5, "Pending", IF(CB52&lt;0.5, "Complete", "In Progress"))</f>
        <v>#REF!</v>
      </c>
      <c r="CD52" s="24"/>
      <c r="CE52" s="25">
        <f>SUMPRODUCT($H$60:AY$60,$H52:AY52)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23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IF(SUMPRODUCT($J$60:K$60,$J53:K53)&lt;0.5,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IF(SUMPRODUCT($J$60:N$60,$J53:N53)&lt;0.5,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IF(SUMPRODUCT($J$60:Q$60,$J53:Q53)&lt;0.5,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IF(SUMPRODUCT($J$60:T$60,$J53:T53)&lt;0.5,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IF(SUMPRODUCT($J$60:W$60,$J53:W53)&lt;0.5,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IF(SUMPRODUCT($J$60:Z$60,$J53:Z53)&lt;0.5,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IF(SUMPRODUCT($J$60:AC$60,$J53:AC53)&lt;0.5,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IF(SUMPRODUCT($J$60:AF$60,$J53:AF53)&lt;0.5,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IF(SUMPRODUCT($J$60:AI$60,$J53:AI53)&lt;0.5,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IF(SUMPRODUCT($J$60:AL$60,$J53:AL53)&lt;0.5,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IF(SUMPRODUCT($J$60:AO$60,$J53:AO53)&lt;0.5,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IF(SUMPRODUCT($J$60:AR$60,$J53:AR53)&lt;0.5,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IF(SUMPRODUCT($J$60:AU$60,$J53:AU53)&lt;0.5,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IF(SUMPRODUCT($J$60:AX$60,$J53:AX53)&lt;0.5,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IF(SUMPRODUCT($J$60:BA$60,$J53:BA53)&lt;0.5,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IF(SUMPRODUCT($J$60:BD$60,$J53:BD53)&lt;0.5,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IF(SUMPRODUCT($J$60:BG$60,$J53:BG53)&lt;0.5,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IF(SUMPRODUCT($J$60:BJ$60,$J53:BJ53)&lt;0.5,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IF(SUMPRODUCT($J$60:BM$60,$J53:BM53)&lt;0.5,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IF(SUMPRODUCT($J$60:BP$60,$J53:BP53)&lt;0.5,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IF(SUMPRODUCT($J$60:BS$60,$J53:BS53)&lt;0.5,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IF(SUMPRODUCT($J$60:BV$60,$J53:BV53)&lt;0.5,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IF(SUMPRODUCT($J$60:BY$60,$J53:BY53)&lt;0.5,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IF(SUMPRODUCT($J$60:CB$60,$J53:CB53)&lt;0.5, "Pending", IF(CB53&lt;0.5, "Complete", "In Progress"))</f>
        <v>#REF!</v>
      </c>
      <c r="CD53" s="24"/>
      <c r="CE53" s="25">
        <f>SUMPRODUCT($H$60:AY$60,$H53:AY53)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23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IF(SUMPRODUCT($J$60:K$60,$J54:K54)&lt;0.5,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IF(SUMPRODUCT($J$60:N$60,$J54:N54)&lt;0.5,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IF(SUMPRODUCT($J$60:Q$60,$J54:Q54)&lt;0.5,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IF(SUMPRODUCT($J$60:T$60,$J54:T54)&lt;0.5,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IF(SUMPRODUCT($J$60:W$60,$J54:W54)&lt;0.5,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IF(SUMPRODUCT($J$60:Z$60,$J54:Z54)&lt;0.5,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IF(SUMPRODUCT($J$60:AC$60,$J54:AC54)&lt;0.5,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IF(SUMPRODUCT($J$60:AF$60,$J54:AF54)&lt;0.5,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IF(SUMPRODUCT($J$60:AI$60,$J54:AI54)&lt;0.5,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IF(SUMPRODUCT($J$60:AL$60,$J54:AL54)&lt;0.5,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IF(SUMPRODUCT($J$60:AO$60,$J54:AO54)&lt;0.5,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IF(SUMPRODUCT($J$60:AR$60,$J54:AR54)&lt;0.5,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IF(SUMPRODUCT($J$60:AU$60,$J54:AU54)&lt;0.5,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IF(SUMPRODUCT($J$60:AX$60,$J54:AX54)&lt;0.5,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IF(SUMPRODUCT($J$60:BA$60,$J54:BA54)&lt;0.5,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IF(SUMPRODUCT($J$60:BD$60,$J54:BD54)&lt;0.5,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IF(SUMPRODUCT($J$60:BG$60,$J54:BG54)&lt;0.5,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IF(SUMPRODUCT($J$60:BJ$60,$J54:BJ54)&lt;0.5,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IF(SUMPRODUCT($J$60:BM$60,$J54:BM54)&lt;0.5,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IF(SUMPRODUCT($J$60:BP$60,$J54:BP54)&lt;0.5,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IF(SUMPRODUCT($J$60:BS$60,$J54:BS54)&lt;0.5,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IF(SUMPRODUCT($J$60:BV$60,$J54:BV54)&lt;0.5,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IF(SUMPRODUCT($J$60:BY$60,$J54:BY54)&lt;0.5,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IF(SUMPRODUCT($J$60:CB$60,$J54:CB54)&lt;0.5, "Pending", IF(CB54&lt;0.5, "Complete", "In Progress"))</f>
        <v>#REF!</v>
      </c>
      <c r="CD54" s="24"/>
      <c r="CE54" s="25">
        <f>SUMPRODUCT($H$60:AY$60,$H54:AY54)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23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IF(SUMPRODUCT($J$60:K$60,$J55:K55)&lt;0.5,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IF(SUMPRODUCT($J$60:N$60,$J55:N55)&lt;0.5,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IF(SUMPRODUCT($J$60:Q$60,$J55:Q55)&lt;0.5,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IF(SUMPRODUCT($J$60:T$60,$J55:T55)&lt;0.5,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IF(SUMPRODUCT($J$60:W$60,$J55:W55)&lt;0.5,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IF(SUMPRODUCT($J$60:Z$60,$J55:Z55)&lt;0.5,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IF(SUMPRODUCT($J$60:AC$60,$J55:AC55)&lt;0.5,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IF(SUMPRODUCT($J$60:AF$60,$J55:AF55)&lt;0.5,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IF(SUMPRODUCT($J$60:AI$60,$J55:AI55)&lt;0.5,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IF(SUMPRODUCT($J$60:AL$60,$J55:AL55)&lt;0.5,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IF(SUMPRODUCT($J$60:AO$60,$J55:AO55)&lt;0.5,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IF(SUMPRODUCT($J$60:AR$60,$J55:AR55)&lt;0.5,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IF(SUMPRODUCT($J$60:AU$60,$J55:AU55)&lt;0.5,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IF(SUMPRODUCT($J$60:AX$60,$J55:AX55)&lt;0.5,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IF(SUMPRODUCT($J$60:BA$60,$J55:BA55)&lt;0.5,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IF(SUMPRODUCT($J$60:BD$60,$J55:BD55)&lt;0.5,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IF(SUMPRODUCT($J$60:BG$60,$J55:BG55)&lt;0.5,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IF(SUMPRODUCT($J$60:BJ$60,$J55:BJ55)&lt;0.5,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IF(SUMPRODUCT($J$60:BM$60,$J55:BM55)&lt;0.5,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IF(SUMPRODUCT($J$60:BP$60,$J55:BP55)&lt;0.5,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IF(SUMPRODUCT($J$60:BS$60,$J55:BS55)&lt;0.5,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IF(SUMPRODUCT($J$60:BV$60,$J55:BV55)&lt;0.5,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IF(SUMPRODUCT($J$60:BY$60,$J55:BY55)&lt;0.5,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IF(SUMPRODUCT($J$60:CB$60,$J55:CB55)&lt;0.5, "Pending", IF(CB55&lt;0.5, "Complete", "In Progress"))</f>
        <v>#REF!</v>
      </c>
      <c r="CD55" s="24"/>
      <c r="CE55" s="25">
        <f>SUMPRODUCT($H$60:AY$60,$H55:AY55)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str">
        <f t="shared" ca="1" si="23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IF(SUMPRODUCT($J$60:K$60,$J56:K56)&lt;0.5,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IF(SUMPRODUCT($J$60:N$60,$J56:N56)&lt;0.5,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IF(SUMPRODUCT($J$60:Q$60,$J56:Q56)&lt;0.5,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IF(SUMPRODUCT($J$60:T$60,$J56:T56)&lt;0.5,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IF(SUMPRODUCT($J$60:W$60,$J56:W56)&lt;0.5,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IF(SUMPRODUCT($J$60:Z$60,$J56:Z56)&lt;0.5,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IF(SUMPRODUCT($J$60:AC$60,$J56:AC56)&lt;0.5,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IF(SUMPRODUCT($J$60:AF$60,$J56:AF56)&lt;0.5,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IF(SUMPRODUCT($J$60:AI$60,$J56:AI56)&lt;0.5,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IF(SUMPRODUCT($J$60:AL$60,$J56:AL56)&lt;0.5,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IF(SUMPRODUCT($J$60:AO$60,$J56:AO56)&lt;0.5,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IF(SUMPRODUCT($J$60:AR$60,$J56:AR56)&lt;0.5,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IF(SUMPRODUCT($J$60:AU$60,$J56:AU56)&lt;0.5,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IF(SUMPRODUCT($J$60:AX$60,$J56:AX56)&lt;0.5,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IF(SUMPRODUCT($J$60:BA$60,$J56:BA56)&lt;0.5,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IF(SUMPRODUCT($J$60:BD$60,$J56:BD56)&lt;0.5,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IF(SUMPRODUCT($J$60:BG$60,$J56:BG56)&lt;0.5,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IF(SUMPRODUCT($J$60:BJ$60,$J56:BJ56)&lt;0.5,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IF(SUMPRODUCT($J$60:BM$60,$J56:BM56)&lt;0.5,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IF(SUMPRODUCT($J$60:BP$60,$J56:BP56)&lt;0.5,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IF(SUMPRODUCT($J$60:BS$60,$J56:BS56)&lt;0.5,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IF(SUMPRODUCT($J$60:BV$60,$J56:BV56)&lt;0.5,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IF(SUMPRODUCT($J$60:BY$60,$J56:BY56)&lt;0.5,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IF(SUMPRODUCT($J$60:CB$60,$J56:CB56)&lt;0.5, "Pending", IF(CB56&lt;0.5, "Complete", "In Progress"))</f>
        <v>#REF!</v>
      </c>
      <c r="CD56" s="24"/>
      <c r="CE56" s="25">
        <f>SUMPRODUCT($H$60:AY$60,$H56:AY56)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48</v>
      </c>
      <c r="G57" s="19" t="str">
        <f t="shared" ca="1" si="23"/>
        <v>Pending</v>
      </c>
      <c r="H57" s="20">
        <v>1</v>
      </c>
      <c r="I57" s="21">
        <v>0</v>
      </c>
      <c r="J57" s="22">
        <v>0</v>
      </c>
      <c r="K57" s="22">
        <f t="shared" ref="K57" si="47">MAX(I57-J57, 0)</f>
        <v>0</v>
      </c>
      <c r="L57" s="23" t="str">
        <f>IF(SUMPRODUCT($J$60:K$60,$J57:K57)&lt;0.5, "Pending", IF(K57&lt;0.5, "Complete", "In Progress"))</f>
        <v>Pending</v>
      </c>
      <c r="M57" s="22">
        <v>0</v>
      </c>
      <c r="N57" s="22">
        <f t="shared" ref="N57" si="48">MAX(K57-M57,0)</f>
        <v>0</v>
      </c>
      <c r="O57" s="23" t="str">
        <f>IF(SUMPRODUCT($J$60:N$60,$J57:N57)&lt;0.5, "Pending", IF(N57&lt;0.5, "Complete", "In Progress"))</f>
        <v>Pending</v>
      </c>
      <c r="P57" s="22">
        <v>0</v>
      </c>
      <c r="Q57" s="22">
        <f t="shared" ref="Q57" si="49">MAX(N57-P57,0)</f>
        <v>0</v>
      </c>
      <c r="R57" s="23" t="str">
        <f>IF(SUMPRODUCT($J$60:Q$60,$J57:Q57)&lt;0.5, "Pending", IF(Q57&lt;0.5, "Complete", "In Progress"))</f>
        <v>Pending</v>
      </c>
      <c r="S57" s="22">
        <v>0</v>
      </c>
      <c r="T57" s="22">
        <f t="shared" ref="T57" si="50">MAX(Q57-S57,0)</f>
        <v>0</v>
      </c>
      <c r="U57" s="23" t="str">
        <f>IF(SUMPRODUCT($J$60:T$60,$J57:T57)&lt;0.5, "Pending", IF(T57&lt;0.5, "Complete", "In Progress"))</f>
        <v>Pending</v>
      </c>
      <c r="V57" s="22">
        <v>0</v>
      </c>
      <c r="W57" s="22">
        <f t="shared" ref="W57" si="51">MAX(T57-V57,0)</f>
        <v>0</v>
      </c>
      <c r="X57" s="23" t="str">
        <f>IF(SUMPRODUCT($J$60:W$60,$J57:W57)&lt;0.5, "Pending", IF(W57&lt;0.5, "Complete", "In Progress"))</f>
        <v>Pending</v>
      </c>
      <c r="Y57" s="22">
        <v>0</v>
      </c>
      <c r="Z57" s="22">
        <f t="shared" ref="Z57" si="52">MAX(W57-Y57,0)</f>
        <v>0</v>
      </c>
      <c r="AA57" s="23" t="str">
        <f>IF(SUMPRODUCT($J$60:Z$60,$J57:Z57)&lt;0.5, "Pending", IF(Z57&lt;0.5, "Complete", "In Progress"))</f>
        <v>Pending</v>
      </c>
      <c r="AB57" s="22">
        <v>0</v>
      </c>
      <c r="AC57" s="22">
        <f t="shared" ref="AC57" si="53">MAX(Z57-AB57,0)</f>
        <v>0</v>
      </c>
      <c r="AD57" s="23" t="str">
        <f>IF(SUMPRODUCT($J$60:AC$60,$J57:AC57)&lt;0.5, "Pending", IF(AC57&lt;0.5, "Complete", "In Progress"))</f>
        <v>Pending</v>
      </c>
      <c r="AE57" s="22">
        <v>0</v>
      </c>
      <c r="AF57" s="22">
        <f t="shared" ref="AF57" si="54">MAX(AC57-AE57,0)</f>
        <v>0</v>
      </c>
      <c r="AG57" s="23" t="str">
        <f>IF(SUMPRODUCT($J$60:AF$60,$J57:AF57)&lt;0.5, "Pending", IF(AF57&lt;0.5, "Complete", "In Progress"))</f>
        <v>Pending</v>
      </c>
      <c r="AH57" s="22">
        <v>0</v>
      </c>
      <c r="AI57" s="22">
        <f t="shared" ref="AI57" si="55">MAX(AF57-AH57,0)</f>
        <v>0</v>
      </c>
      <c r="AJ57" s="23" t="str">
        <f>IF(SUMPRODUCT($J$60:AI$60,$J57:AI57)&lt;0.5, "Pending", IF(AI57&lt;0.5, "Complete", "In Progress"))</f>
        <v>Pending</v>
      </c>
      <c r="AK57" s="22">
        <v>0</v>
      </c>
      <c r="AL57" s="22">
        <f t="shared" ref="AL57" si="56">MAX(AI57-AK57,0)</f>
        <v>0</v>
      </c>
      <c r="AM57" s="23" t="str">
        <f>IF(SUMPRODUCT($J$60:AL$60,$J57:AL57)&lt;0.5, "Pending", IF(AL57&lt;0.5, "Complete", "In Progress"))</f>
        <v>Pending</v>
      </c>
      <c r="AN57" s="22">
        <v>0</v>
      </c>
      <c r="AO57" s="22">
        <f t="shared" ref="AO57" si="57">MAX(AL57-AN57,0)</f>
        <v>0</v>
      </c>
      <c r="AP57" s="23" t="str">
        <f>IF(SUMPRODUCT($J$60:AO$60,$J57:AO57)&lt;0.5, "Pending", IF(AO57&lt;0.5, "Complete", "In Progress"))</f>
        <v>Pending</v>
      </c>
      <c r="AQ57" s="22">
        <v>0</v>
      </c>
      <c r="AR57" s="22">
        <f t="shared" ref="AR57" si="58">MAX(AO57-AQ57,0)</f>
        <v>0</v>
      </c>
      <c r="AS57" s="23" t="str">
        <f>IF(SUMPRODUCT($J$60:AR$60,$J57:AR57)&lt;0.5, "Pending", IF(AR57&lt;0.5, "Complete", "In Progress"))</f>
        <v>Pending</v>
      </c>
      <c r="AT57" s="22">
        <v>0</v>
      </c>
      <c r="AU57" s="22">
        <f t="shared" ref="AU57" si="59">MAX(AR57-AT57,0)</f>
        <v>0</v>
      </c>
      <c r="AV57" s="23" t="str">
        <f>IF(SUMPRODUCT($J$60:AU$60,$J57:AU57)&lt;0.5, "Pending", IF(AU57&lt;0.5, "Complete", "In Progress"))</f>
        <v>Pending</v>
      </c>
      <c r="AW57" s="22">
        <v>0</v>
      </c>
      <c r="AX57" s="22">
        <f t="shared" ref="AX57" si="60">MAX(AU57-AW57,0)</f>
        <v>0</v>
      </c>
      <c r="AY57" s="23" t="str">
        <f>IF(SUMPRODUCT($J$60:AX$60,$J57:AX57)&lt;0.5,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IF(SUMPRODUCT($J$60:BA$60,$J57:BA57)&lt;0.5, "Pending", IF(BA57&lt;0.5, "Complete", "In Progress"))</f>
        <v>#REF!</v>
      </c>
      <c r="BC57" s="22">
        <v>0</v>
      </c>
      <c r="BD57" s="22" t="e">
        <f t="shared" ref="BD57" si="61">MAX(BA57-BC57,0)</f>
        <v>#REF!</v>
      </c>
      <c r="BE57" s="23" t="e">
        <f>IF(SUMPRODUCT($J$60:BD$60,$J57:BD57)&lt;0.5, "Pending", IF(BD57&lt;0.5, "Complete", "In Progress"))</f>
        <v>#REF!</v>
      </c>
      <c r="BF57" s="22">
        <v>0</v>
      </c>
      <c r="BG57" s="22" t="e">
        <f t="shared" ref="BG57" si="62">MAX(BD57-BF57,0)</f>
        <v>#REF!</v>
      </c>
      <c r="BH57" s="23" t="e">
        <f>IF(SUMPRODUCT($J$60:BG$60,$J57:BG57)&lt;0.5, "Pending", IF(BG57&lt;0.5, "Complete", "In Progress"))</f>
        <v>#REF!</v>
      </c>
      <c r="BI57" s="22">
        <v>0</v>
      </c>
      <c r="BJ57" s="22" t="e">
        <f t="shared" ref="BJ57" si="63">MAX(BG57-BI57,0)</f>
        <v>#REF!</v>
      </c>
      <c r="BK57" s="23" t="e">
        <f>IF(SUMPRODUCT($J$60:BJ$60,$J57:BJ57)&lt;0.5, "Pending", IF(BJ57&lt;0.5, "Complete", "In Progress"))</f>
        <v>#REF!</v>
      </c>
      <c r="BL57" s="22">
        <v>0</v>
      </c>
      <c r="BM57" s="22" t="e">
        <f t="shared" ref="BM57" si="64">MAX(BJ57-BL57,0)</f>
        <v>#REF!</v>
      </c>
      <c r="BN57" s="23" t="e">
        <f>IF(SUMPRODUCT($J$60:BM$60,$J57:BM57)&lt;0.5, "Pending", IF(BM57&lt;0.5, "Complete", "In Progress"))</f>
        <v>#REF!</v>
      </c>
      <c r="BO57" s="22">
        <v>0</v>
      </c>
      <c r="BP57" s="22" t="e">
        <f t="shared" ref="BP57" si="65">MAX(BM57-BO57,0)</f>
        <v>#REF!</v>
      </c>
      <c r="BQ57" s="23" t="e">
        <f>IF(SUMPRODUCT($J$60:BP$60,$J57:BP57)&lt;0.5, "Pending", IF(BP57&lt;0.5, "Complete", "In Progress"))</f>
        <v>#REF!</v>
      </c>
      <c r="BR57" s="22">
        <v>0</v>
      </c>
      <c r="BS57" s="22" t="e">
        <f t="shared" ref="BS57" si="66">MAX(BP57-BR57,0)</f>
        <v>#REF!</v>
      </c>
      <c r="BT57" s="23" t="e">
        <f>IF(SUMPRODUCT($J$60:BS$60,$J57:BS57)&lt;0.5, "Pending", IF(BS57&lt;0.5, "Complete", "In Progress"))</f>
        <v>#REF!</v>
      </c>
      <c r="BU57" s="22">
        <v>0</v>
      </c>
      <c r="BV57" s="22" t="e">
        <f t="shared" ref="BV57" si="67">MAX(BS57-BU57,0)</f>
        <v>#REF!</v>
      </c>
      <c r="BW57" s="23" t="e">
        <f>IF(SUMPRODUCT($J$60:BV$60,$J57:BV57)&lt;0.5, "Pending", IF(BV57&lt;0.5, "Complete", "In Progress"))</f>
        <v>#REF!</v>
      </c>
      <c r="BX57" s="22">
        <v>0</v>
      </c>
      <c r="BY57" s="22" t="e">
        <f t="shared" ref="BY57" si="68">MAX(BV57-BX57,0)</f>
        <v>#REF!</v>
      </c>
      <c r="BZ57" s="23" t="e">
        <f>IF(SUMPRODUCT($J$60:BY$60,$J57:BY57)&lt;0.5, "Pending", IF(BY57&lt;0.5, "Complete", "In Progress"))</f>
        <v>#REF!</v>
      </c>
      <c r="CA57" s="22">
        <v>0</v>
      </c>
      <c r="CB57" s="22" t="e">
        <f t="shared" ref="CB57" si="69">MAX(BY57-CA57,0)</f>
        <v>#REF!</v>
      </c>
      <c r="CC57" s="23" t="e">
        <f>IF(SUMPRODUCT($J$60:CB$60,$J57:CB57)&lt;0.5, "Pending", IF(CB57&lt;0.5, "Complete", "In Progress"))</f>
        <v>#REF!</v>
      </c>
      <c r="CD57" s="24"/>
      <c r="CE57" s="25">
        <f>SUMPRODUCT($H$60:AY$60,$H57:AY57)</f>
        <v>0</v>
      </c>
    </row>
    <row r="58" spans="1:83" hidden="1" x14ac:dyDescent="0.2">
      <c r="A58" s="26"/>
      <c r="B58" s="26"/>
      <c r="C58" s="26"/>
      <c r="D58" s="26"/>
      <c r="E58" s="26"/>
      <c r="F58" s="26"/>
      <c r="G58" s="26"/>
      <c r="H58" s="26"/>
      <c r="I58" s="26"/>
      <c r="J58" s="24"/>
      <c r="K58" s="24"/>
      <c r="L58" s="24"/>
      <c r="M58" s="27"/>
      <c r="N58" s="27"/>
      <c r="O58" s="24"/>
      <c r="P58" s="27"/>
      <c r="Q58" s="27"/>
      <c r="R58" s="24"/>
      <c r="S58" s="27"/>
      <c r="T58" s="27"/>
      <c r="U58" s="27"/>
      <c r="V58" s="27"/>
      <c r="W58" s="27"/>
      <c r="X58" s="24"/>
      <c r="Y58" s="27"/>
      <c r="Z58" s="27"/>
      <c r="AA58" s="24"/>
      <c r="AB58" s="27"/>
      <c r="AC58" s="27"/>
      <c r="AD58" s="24"/>
      <c r="AE58" s="27"/>
      <c r="AF58" s="27"/>
      <c r="AG58" s="24"/>
      <c r="AH58" s="27"/>
      <c r="AI58" s="27"/>
      <c r="AJ58" s="24"/>
      <c r="AK58" s="27"/>
      <c r="AL58" s="27"/>
      <c r="AM58" s="24"/>
      <c r="AN58" s="27"/>
      <c r="AO58" s="27"/>
      <c r="AP58" s="24"/>
      <c r="AQ58" s="27"/>
      <c r="AR58" s="27"/>
      <c r="AS58" s="24"/>
      <c r="AT58" s="27"/>
      <c r="AU58" s="27"/>
      <c r="AV58" s="24"/>
      <c r="AW58" s="27"/>
      <c r="AX58" s="27"/>
      <c r="AY58" s="24"/>
      <c r="AZ58" s="27"/>
      <c r="BA58" s="27"/>
      <c r="BB58" s="24"/>
      <c r="BC58" s="27"/>
      <c r="BD58" s="27"/>
      <c r="BE58" s="24"/>
      <c r="BF58" s="27"/>
      <c r="BG58" s="27"/>
      <c r="BH58" s="24"/>
      <c r="BI58" s="27"/>
      <c r="BJ58" s="27"/>
      <c r="BK58" s="24"/>
      <c r="BL58" s="27"/>
      <c r="BM58" s="27"/>
      <c r="BN58" s="24"/>
      <c r="BO58" s="27"/>
      <c r="BP58" s="27"/>
      <c r="BQ58" s="24"/>
      <c r="BR58" s="27"/>
      <c r="BS58" s="27"/>
      <c r="BT58" s="24"/>
      <c r="BU58" s="27"/>
      <c r="BV58" s="27"/>
      <c r="BW58" s="24"/>
      <c r="BX58" s="27"/>
      <c r="BY58" s="27"/>
      <c r="BZ58" s="24"/>
      <c r="CA58" s="27"/>
      <c r="CB58" s="27"/>
      <c r="CC58" s="24"/>
      <c r="CD58" s="24"/>
      <c r="CE58" s="28">
        <f>SUMPRODUCT($H$61:BK$61,$H58:BK58)</f>
        <v>0</v>
      </c>
    </row>
    <row r="59" spans="1:83" x14ac:dyDescent="0.2">
      <c r="A59" s="29"/>
      <c r="B59" s="29"/>
      <c r="C59" s="29"/>
      <c r="D59" s="29"/>
      <c r="E59" s="29"/>
      <c r="F59" s="29"/>
      <c r="G59" s="1"/>
      <c r="H59" s="29"/>
      <c r="I59" s="29"/>
      <c r="J59" s="193" t="s">
        <v>9</v>
      </c>
      <c r="K59" s="194"/>
      <c r="L59" s="30">
        <v>1</v>
      </c>
      <c r="M59" s="191" t="s">
        <v>9</v>
      </c>
      <c r="N59" s="195"/>
      <c r="O59" s="30">
        <f>L59+1</f>
        <v>2</v>
      </c>
      <c r="P59" s="191" t="s">
        <v>9</v>
      </c>
      <c r="Q59" s="195"/>
      <c r="R59" s="30">
        <f>O59+1</f>
        <v>3</v>
      </c>
      <c r="S59" s="191" t="s">
        <v>9</v>
      </c>
      <c r="T59" s="195"/>
      <c r="U59" s="30">
        <f>R59+1</f>
        <v>4</v>
      </c>
      <c r="V59" s="191" t="s">
        <v>9</v>
      </c>
      <c r="W59" s="195"/>
      <c r="X59" s="30">
        <f>U59+1</f>
        <v>5</v>
      </c>
      <c r="Y59" s="191" t="s">
        <v>9</v>
      </c>
      <c r="Z59" s="191"/>
      <c r="AA59" s="30">
        <f>X59+1</f>
        <v>6</v>
      </c>
      <c r="AB59" s="191" t="s">
        <v>9</v>
      </c>
      <c r="AC59" s="191"/>
      <c r="AD59" s="30">
        <f>AA59+1</f>
        <v>7</v>
      </c>
      <c r="AE59" s="191" t="s">
        <v>9</v>
      </c>
      <c r="AF59" s="191"/>
      <c r="AG59" s="30">
        <f>AD59+1</f>
        <v>8</v>
      </c>
      <c r="AH59" s="191" t="s">
        <v>9</v>
      </c>
      <c r="AI59" s="191"/>
      <c r="AJ59" s="30">
        <f>AG59+1</f>
        <v>9</v>
      </c>
      <c r="AK59" s="191" t="s">
        <v>9</v>
      </c>
      <c r="AL59" s="191"/>
      <c r="AM59" s="30">
        <f>AJ59+1</f>
        <v>10</v>
      </c>
      <c r="AN59" s="191" t="s">
        <v>9</v>
      </c>
      <c r="AO59" s="191"/>
      <c r="AP59" s="30">
        <f>AM59+1</f>
        <v>11</v>
      </c>
      <c r="AQ59" s="191" t="s">
        <v>9</v>
      </c>
      <c r="AR59" s="191"/>
      <c r="AS59" s="30">
        <f>AP59+1</f>
        <v>12</v>
      </c>
      <c r="AT59" s="191" t="s">
        <v>9</v>
      </c>
      <c r="AU59" s="191"/>
      <c r="AV59" s="30">
        <f>AS59+1</f>
        <v>13</v>
      </c>
      <c r="AW59" s="191" t="s">
        <v>9</v>
      </c>
      <c r="AX59" s="191"/>
      <c r="AY59" s="30">
        <f>AV59+1</f>
        <v>14</v>
      </c>
      <c r="AZ59" s="191" t="s">
        <v>9</v>
      </c>
      <c r="BA59" s="195"/>
      <c r="BB59" s="30" t="e">
        <f>#REF!+1</f>
        <v>#REF!</v>
      </c>
      <c r="BC59" s="191" t="s">
        <v>9</v>
      </c>
      <c r="BD59" s="195"/>
      <c r="BE59" s="30" t="e">
        <f>BB59+1</f>
        <v>#REF!</v>
      </c>
      <c r="BF59" s="191" t="s">
        <v>9</v>
      </c>
      <c r="BG59" s="195"/>
      <c r="BH59" s="30" t="e">
        <f>BE59+1</f>
        <v>#REF!</v>
      </c>
      <c r="BI59" s="191" t="s">
        <v>9</v>
      </c>
      <c r="BJ59" s="195"/>
      <c r="BK59" s="30" t="e">
        <f>BH59+1</f>
        <v>#REF!</v>
      </c>
      <c r="BL59" s="191" t="s">
        <v>9</v>
      </c>
      <c r="BM59" s="195"/>
      <c r="BN59" s="30" t="e">
        <f>BK59+1</f>
        <v>#REF!</v>
      </c>
      <c r="BO59" s="191" t="s">
        <v>9</v>
      </c>
      <c r="BP59" s="195"/>
      <c r="BQ59" s="30" t="e">
        <f>BN59+1</f>
        <v>#REF!</v>
      </c>
      <c r="BR59" s="191" t="s">
        <v>9</v>
      </c>
      <c r="BS59" s="195"/>
      <c r="BT59" s="30" t="e">
        <f>BQ59+1</f>
        <v>#REF!</v>
      </c>
      <c r="BU59" s="191" t="s">
        <v>9</v>
      </c>
      <c r="BV59" s="195"/>
      <c r="BW59" s="30" t="e">
        <f>BT59+1</f>
        <v>#REF!</v>
      </c>
      <c r="BX59" s="191" t="s">
        <v>9</v>
      </c>
      <c r="BY59" s="195"/>
      <c r="BZ59" s="30" t="e">
        <f>BW59+1</f>
        <v>#REF!</v>
      </c>
      <c r="CA59" s="191" t="s">
        <v>9</v>
      </c>
      <c r="CB59" s="195"/>
      <c r="CC59" s="30" t="e">
        <f>BZ59+1</f>
        <v>#REF!</v>
      </c>
      <c r="CD59" s="30"/>
      <c r="CE59" s="31"/>
    </row>
    <row r="60" spans="1:83" hidden="1" x14ac:dyDescent="0.2">
      <c r="A60" s="32"/>
      <c r="B60" s="32"/>
      <c r="C60" s="32"/>
      <c r="D60" s="32"/>
      <c r="E60" s="32" t="s">
        <v>11</v>
      </c>
      <c r="F60" s="32"/>
      <c r="G60" s="32"/>
      <c r="H60" s="32"/>
      <c r="I60" s="32"/>
      <c r="J60" s="155">
        <v>1</v>
      </c>
      <c r="K60" s="155">
        <v>0</v>
      </c>
      <c r="L60" s="32">
        <v>0</v>
      </c>
      <c r="M60" s="32">
        <v>1</v>
      </c>
      <c r="N60" s="32">
        <v>0</v>
      </c>
      <c r="O60" s="32">
        <v>0</v>
      </c>
      <c r="P60" s="32">
        <v>1</v>
      </c>
      <c r="Q60" s="32">
        <v>0</v>
      </c>
      <c r="R60" s="32">
        <v>0</v>
      </c>
      <c r="S60" s="32">
        <v>1</v>
      </c>
      <c r="T60" s="32">
        <v>0</v>
      </c>
      <c r="U60" s="32">
        <v>0</v>
      </c>
      <c r="V60" s="32">
        <v>1</v>
      </c>
      <c r="W60" s="32">
        <v>0</v>
      </c>
      <c r="X60" s="32">
        <v>0</v>
      </c>
      <c r="Y60" s="32">
        <v>1</v>
      </c>
      <c r="Z60" s="32">
        <v>0</v>
      </c>
      <c r="AA60" s="32">
        <v>0</v>
      </c>
      <c r="AB60" s="32">
        <v>1</v>
      </c>
      <c r="AC60" s="32">
        <v>0</v>
      </c>
      <c r="AD60" s="32">
        <v>0</v>
      </c>
      <c r="AE60" s="32">
        <v>1</v>
      </c>
      <c r="AF60" s="32">
        <v>0</v>
      </c>
      <c r="AG60" s="32">
        <v>0</v>
      </c>
      <c r="AH60" s="32">
        <v>1</v>
      </c>
      <c r="AI60" s="32">
        <v>0</v>
      </c>
      <c r="AJ60" s="32">
        <v>0</v>
      </c>
      <c r="AK60" s="32">
        <v>1</v>
      </c>
      <c r="AL60" s="32">
        <v>0</v>
      </c>
      <c r="AM60" s="32">
        <v>0</v>
      </c>
      <c r="AN60" s="32">
        <v>1</v>
      </c>
      <c r="AO60" s="32">
        <v>0</v>
      </c>
      <c r="AP60" s="32">
        <v>0</v>
      </c>
      <c r="AQ60" s="32">
        <v>1</v>
      </c>
      <c r="AR60" s="32">
        <v>0</v>
      </c>
      <c r="AS60" s="32">
        <v>0</v>
      </c>
      <c r="AT60" s="32">
        <v>1</v>
      </c>
      <c r="AU60" s="32">
        <v>0</v>
      </c>
      <c r="AV60" s="32">
        <v>0</v>
      </c>
      <c r="AW60" s="32">
        <v>1</v>
      </c>
      <c r="AX60" s="32">
        <v>0</v>
      </c>
      <c r="AY60" s="32">
        <v>0</v>
      </c>
      <c r="AZ60" s="32">
        <v>1</v>
      </c>
      <c r="BA60" s="32">
        <v>0</v>
      </c>
      <c r="BB60" s="32">
        <v>0</v>
      </c>
      <c r="BC60" s="32">
        <v>1</v>
      </c>
      <c r="BD60" s="32">
        <v>0</v>
      </c>
      <c r="BE60" s="32">
        <v>0</v>
      </c>
      <c r="BF60" s="32">
        <v>1</v>
      </c>
      <c r="BG60" s="32">
        <v>0</v>
      </c>
      <c r="BH60" s="32">
        <v>0</v>
      </c>
      <c r="BI60" s="32">
        <v>1</v>
      </c>
      <c r="BJ60" s="32">
        <v>0</v>
      </c>
      <c r="BK60" s="32">
        <v>0</v>
      </c>
      <c r="BL60" s="32">
        <v>1</v>
      </c>
      <c r="BM60" s="32">
        <v>0</v>
      </c>
      <c r="BN60" s="32">
        <v>0</v>
      </c>
      <c r="BO60" s="32">
        <v>1</v>
      </c>
      <c r="BP60" s="32">
        <v>0</v>
      </c>
      <c r="BQ60" s="32">
        <v>0</v>
      </c>
      <c r="BR60" s="32">
        <v>1</v>
      </c>
      <c r="BS60" s="32">
        <v>0</v>
      </c>
      <c r="BT60" s="32">
        <v>0</v>
      </c>
      <c r="BU60" s="32">
        <v>1</v>
      </c>
      <c r="BV60" s="32">
        <v>0</v>
      </c>
      <c r="BW60" s="32">
        <v>0</v>
      </c>
      <c r="BX60" s="32">
        <v>1</v>
      </c>
      <c r="BY60" s="32">
        <v>0</v>
      </c>
      <c r="BZ60" s="32">
        <v>0</v>
      </c>
      <c r="CA60" s="32">
        <v>1</v>
      </c>
      <c r="CB60" s="32">
        <v>0</v>
      </c>
      <c r="CC60" s="32">
        <v>0</v>
      </c>
      <c r="CD60" s="32"/>
      <c r="CE60" s="33"/>
    </row>
    <row r="61" spans="1:83" hidden="1" x14ac:dyDescent="0.2">
      <c r="A61" s="34"/>
      <c r="B61" s="34"/>
      <c r="C61" s="34"/>
      <c r="D61" s="34"/>
      <c r="E61" s="32" t="s">
        <v>13</v>
      </c>
      <c r="F61" s="32"/>
      <c r="G61" s="32"/>
      <c r="H61" s="32"/>
      <c r="I61" s="32"/>
      <c r="J61" s="24">
        <v>0</v>
      </c>
      <c r="K61" s="155">
        <v>1</v>
      </c>
      <c r="L61" s="32">
        <v>0</v>
      </c>
      <c r="M61" s="35">
        <v>0</v>
      </c>
      <c r="N61" s="32">
        <v>1</v>
      </c>
      <c r="O61" s="32">
        <v>0</v>
      </c>
      <c r="P61" s="35">
        <v>0</v>
      </c>
      <c r="Q61" s="32">
        <v>1</v>
      </c>
      <c r="R61" s="32">
        <v>0</v>
      </c>
      <c r="S61" s="35">
        <v>0</v>
      </c>
      <c r="T61" s="32">
        <v>1</v>
      </c>
      <c r="U61" s="32">
        <v>0</v>
      </c>
      <c r="V61" s="35">
        <v>0</v>
      </c>
      <c r="W61" s="32">
        <v>1</v>
      </c>
      <c r="X61" s="32">
        <v>0</v>
      </c>
      <c r="Y61" s="35">
        <v>0</v>
      </c>
      <c r="Z61" s="32">
        <v>1</v>
      </c>
      <c r="AA61" s="32">
        <v>0</v>
      </c>
      <c r="AB61" s="35">
        <v>0</v>
      </c>
      <c r="AC61" s="32">
        <v>1</v>
      </c>
      <c r="AD61" s="32">
        <v>0</v>
      </c>
      <c r="AE61" s="35">
        <v>0</v>
      </c>
      <c r="AF61" s="32">
        <v>1</v>
      </c>
      <c r="AG61" s="32">
        <v>0</v>
      </c>
      <c r="AH61" s="35">
        <v>0</v>
      </c>
      <c r="AI61" s="32">
        <v>1</v>
      </c>
      <c r="AJ61" s="32">
        <v>0</v>
      </c>
      <c r="AK61" s="35">
        <v>0</v>
      </c>
      <c r="AL61" s="32">
        <v>1</v>
      </c>
      <c r="AM61" s="32">
        <v>0</v>
      </c>
      <c r="AN61" s="35">
        <v>0</v>
      </c>
      <c r="AO61" s="32">
        <v>1</v>
      </c>
      <c r="AP61" s="32">
        <v>0</v>
      </c>
      <c r="AQ61" s="35">
        <v>0</v>
      </c>
      <c r="AR61" s="32">
        <v>1</v>
      </c>
      <c r="AS61" s="32">
        <v>0</v>
      </c>
      <c r="AT61" s="35">
        <v>0</v>
      </c>
      <c r="AU61" s="32">
        <v>1</v>
      </c>
      <c r="AV61" s="32">
        <v>0</v>
      </c>
      <c r="AW61" s="35">
        <v>0</v>
      </c>
      <c r="AX61" s="32">
        <v>1</v>
      </c>
      <c r="AY61" s="32">
        <v>0</v>
      </c>
      <c r="AZ61" s="35">
        <v>0</v>
      </c>
      <c r="BA61" s="32">
        <v>1</v>
      </c>
      <c r="BB61" s="32">
        <v>0</v>
      </c>
      <c r="BC61" s="35">
        <v>0</v>
      </c>
      <c r="BD61" s="32">
        <v>1</v>
      </c>
      <c r="BE61" s="32">
        <v>0</v>
      </c>
      <c r="BF61" s="35">
        <v>0</v>
      </c>
      <c r="BG61" s="32">
        <v>1</v>
      </c>
      <c r="BH61" s="32">
        <v>0</v>
      </c>
      <c r="BI61" s="35">
        <v>0</v>
      </c>
      <c r="BJ61" s="32">
        <v>1</v>
      </c>
      <c r="BK61" s="32">
        <v>0</v>
      </c>
      <c r="BL61" s="35">
        <v>0</v>
      </c>
      <c r="BM61" s="32">
        <v>1</v>
      </c>
      <c r="BN61" s="32">
        <v>0</v>
      </c>
      <c r="BO61" s="35">
        <v>0</v>
      </c>
      <c r="BP61" s="32">
        <v>1</v>
      </c>
      <c r="BQ61" s="32">
        <v>0</v>
      </c>
      <c r="BR61" s="35">
        <v>0</v>
      </c>
      <c r="BS61" s="32">
        <v>1</v>
      </c>
      <c r="BT61" s="32">
        <v>0</v>
      </c>
      <c r="BU61" s="35">
        <v>0</v>
      </c>
      <c r="BV61" s="32">
        <v>1</v>
      </c>
      <c r="BW61" s="32">
        <v>0</v>
      </c>
      <c r="BX61" s="35">
        <v>0</v>
      </c>
      <c r="BY61" s="32">
        <v>1</v>
      </c>
      <c r="BZ61" s="32">
        <v>0</v>
      </c>
      <c r="CA61" s="35">
        <v>0</v>
      </c>
      <c r="CB61" s="32">
        <v>1</v>
      </c>
      <c r="CC61" s="32">
        <v>0</v>
      </c>
      <c r="CD61" s="32"/>
    </row>
    <row r="62" spans="1:83" hidden="1" x14ac:dyDescent="0.2">
      <c r="A62" s="32"/>
      <c r="B62" s="32"/>
      <c r="C62" s="32"/>
      <c r="D62" s="32"/>
      <c r="E62" s="36" t="s">
        <v>14</v>
      </c>
      <c r="F62" s="32"/>
      <c r="G62" s="32"/>
      <c r="H62" s="32"/>
      <c r="I62" s="32"/>
      <c r="J62" s="24">
        <v>0</v>
      </c>
      <c r="K62" s="155">
        <v>0</v>
      </c>
      <c r="L62" s="32">
        <v>1</v>
      </c>
      <c r="M62" s="35">
        <v>0</v>
      </c>
      <c r="N62" s="32">
        <v>0</v>
      </c>
      <c r="O62" s="32">
        <v>1</v>
      </c>
      <c r="P62" s="35">
        <v>0</v>
      </c>
      <c r="Q62" s="32">
        <v>0</v>
      </c>
      <c r="R62" s="32">
        <v>1</v>
      </c>
      <c r="S62" s="35">
        <v>0</v>
      </c>
      <c r="T62" s="32">
        <v>0</v>
      </c>
      <c r="U62" s="32">
        <v>1</v>
      </c>
      <c r="V62" s="35">
        <v>0</v>
      </c>
      <c r="W62" s="32">
        <v>0</v>
      </c>
      <c r="X62" s="32">
        <v>1</v>
      </c>
      <c r="Y62" s="35">
        <v>0</v>
      </c>
      <c r="Z62" s="32">
        <v>0</v>
      </c>
      <c r="AA62" s="32">
        <v>1</v>
      </c>
      <c r="AB62" s="35">
        <v>0</v>
      </c>
      <c r="AC62" s="32">
        <v>0</v>
      </c>
      <c r="AD62" s="32">
        <v>1</v>
      </c>
      <c r="AE62" s="35">
        <v>0</v>
      </c>
      <c r="AF62" s="32">
        <v>0</v>
      </c>
      <c r="AG62" s="32">
        <v>1</v>
      </c>
      <c r="AH62" s="35">
        <v>0</v>
      </c>
      <c r="AI62" s="32">
        <v>0</v>
      </c>
      <c r="AJ62" s="32">
        <v>1</v>
      </c>
      <c r="AK62" s="35">
        <v>0</v>
      </c>
      <c r="AL62" s="32">
        <v>0</v>
      </c>
      <c r="AM62" s="32">
        <v>1</v>
      </c>
      <c r="AN62" s="35">
        <v>0</v>
      </c>
      <c r="AO62" s="32">
        <v>0</v>
      </c>
      <c r="AP62" s="32">
        <v>1</v>
      </c>
      <c r="AQ62" s="35">
        <v>0</v>
      </c>
      <c r="AR62" s="32">
        <v>0</v>
      </c>
      <c r="AS62" s="32">
        <v>1</v>
      </c>
      <c r="AT62" s="35">
        <v>0</v>
      </c>
      <c r="AU62" s="32">
        <v>0</v>
      </c>
      <c r="AV62" s="32">
        <v>1</v>
      </c>
      <c r="AW62" s="35">
        <v>0</v>
      </c>
      <c r="AX62" s="32">
        <v>0</v>
      </c>
      <c r="AY62" s="32">
        <v>1</v>
      </c>
      <c r="AZ62" s="35">
        <v>0</v>
      </c>
      <c r="BA62" s="32">
        <v>0</v>
      </c>
      <c r="BB62" s="32">
        <v>1</v>
      </c>
      <c r="BC62" s="35">
        <v>0</v>
      </c>
      <c r="BD62" s="32">
        <v>0</v>
      </c>
      <c r="BE62" s="32">
        <v>1</v>
      </c>
      <c r="BF62" s="35">
        <v>0</v>
      </c>
      <c r="BG62" s="32">
        <v>0</v>
      </c>
      <c r="BH62" s="32">
        <v>1</v>
      </c>
      <c r="BI62" s="35">
        <v>0</v>
      </c>
      <c r="BJ62" s="32">
        <v>0</v>
      </c>
      <c r="BK62" s="32">
        <v>1</v>
      </c>
      <c r="BL62" s="35">
        <v>0</v>
      </c>
      <c r="BM62" s="32">
        <v>0</v>
      </c>
      <c r="BN62" s="32">
        <v>1</v>
      </c>
      <c r="BO62" s="35">
        <v>0</v>
      </c>
      <c r="BP62" s="32">
        <v>0</v>
      </c>
      <c r="BQ62" s="32">
        <v>1</v>
      </c>
      <c r="BR62" s="35">
        <v>0</v>
      </c>
      <c r="BS62" s="32">
        <v>0</v>
      </c>
      <c r="BT62" s="32">
        <v>1</v>
      </c>
      <c r="BU62" s="35">
        <v>0</v>
      </c>
      <c r="BV62" s="32">
        <v>0</v>
      </c>
      <c r="BW62" s="32">
        <v>1</v>
      </c>
      <c r="BX62" s="35">
        <v>0</v>
      </c>
      <c r="BY62" s="32">
        <v>0</v>
      </c>
      <c r="BZ62" s="32">
        <v>1</v>
      </c>
      <c r="CA62" s="35">
        <v>0</v>
      </c>
      <c r="CB62" s="32">
        <v>0</v>
      </c>
      <c r="CC62" s="32">
        <v>1</v>
      </c>
      <c r="CD62" s="32"/>
    </row>
    <row r="63" spans="1:83" x14ac:dyDescent="0.2">
      <c r="A63" s="37">
        <v>300</v>
      </c>
      <c r="B63" s="37">
        <v>300</v>
      </c>
      <c r="C63" s="37">
        <v>300</v>
      </c>
      <c r="D63" s="37" t="s">
        <v>90</v>
      </c>
      <c r="E63" s="38" t="s">
        <v>86</v>
      </c>
      <c r="F63" s="38"/>
      <c r="G63" s="38"/>
      <c r="H63" s="38"/>
      <c r="I63" s="39">
        <f>SUBTOTAL(109,I$4:I$58)</f>
        <v>53</v>
      </c>
      <c r="J63" s="156">
        <f>SUBTOTAL(109,J$4:J$58)</f>
        <v>2</v>
      </c>
      <c r="K63" s="156">
        <f>SUBTOTAL(109,K$4:K$57)</f>
        <v>51</v>
      </c>
      <c r="L63" s="39"/>
      <c r="M63" s="39">
        <f>SUBTOTAL(109,M$4:M$58)</f>
        <v>0</v>
      </c>
      <c r="N63" s="39">
        <f>SUBTOTAL(109,N$4:N$57)</f>
        <v>51</v>
      </c>
      <c r="O63" s="39"/>
      <c r="P63" s="39">
        <f>SUBTOTAL(109,P$4:P$58)</f>
        <v>0</v>
      </c>
      <c r="Q63" s="39">
        <f>SUBTOTAL(109,Q$4:Q$57)</f>
        <v>51</v>
      </c>
      <c r="R63" s="39"/>
      <c r="S63" s="39">
        <f>SUBTOTAL(109,S$4:S$58)</f>
        <v>0</v>
      </c>
      <c r="T63" s="39">
        <f>SUBTOTAL(109,T$4:T$57)</f>
        <v>51</v>
      </c>
      <c r="U63" s="39"/>
      <c r="V63" s="39">
        <f>SUBTOTAL(109,V$4:V$58)</f>
        <v>0</v>
      </c>
      <c r="W63" s="39">
        <f>SUBTOTAL(109,W$4:W$57)</f>
        <v>51</v>
      </c>
      <c r="X63" s="39"/>
      <c r="Y63" s="39">
        <f>SUBTOTAL(109,Y$4:Y$58)</f>
        <v>0</v>
      </c>
      <c r="Z63" s="39">
        <f>SUBTOTAL(109,Z$4:Z$57)</f>
        <v>51</v>
      </c>
      <c r="AA63" s="39"/>
      <c r="AB63" s="39">
        <f>SUBTOTAL(109,AB$4:AB$58)</f>
        <v>0</v>
      </c>
      <c r="AC63" s="39">
        <f>SUBTOTAL(109,AC$4:AC$57)</f>
        <v>51</v>
      </c>
      <c r="AD63" s="39"/>
      <c r="AE63" s="39">
        <f>SUBTOTAL(109,AE$4:AE$58)</f>
        <v>0</v>
      </c>
      <c r="AF63" s="39">
        <f>SUBTOTAL(109,AF$4:AF$57)</f>
        <v>51</v>
      </c>
      <c r="AG63" s="39"/>
      <c r="AH63" s="39">
        <f>SUBTOTAL(109,AH$4:AH$58)</f>
        <v>0</v>
      </c>
      <c r="AI63" s="39">
        <f>SUBTOTAL(109,AI$4:AI$57)</f>
        <v>51</v>
      </c>
      <c r="AJ63" s="39"/>
      <c r="AK63" s="39">
        <f>SUBTOTAL(109,AK$4:AK$58)</f>
        <v>0</v>
      </c>
      <c r="AL63" s="39">
        <f>SUBTOTAL(109,AL$4:AL$57)</f>
        <v>51</v>
      </c>
      <c r="AM63" s="39"/>
      <c r="AN63" s="39">
        <f>SUBTOTAL(109,AN$4:AN$58)</f>
        <v>0</v>
      </c>
      <c r="AO63" s="39">
        <f>SUBTOTAL(109,AO$4:AO$57)</f>
        <v>51</v>
      </c>
      <c r="AP63" s="39"/>
      <c r="AQ63" s="39">
        <f>SUBTOTAL(109,AQ$4:AQ$58)</f>
        <v>0</v>
      </c>
      <c r="AR63" s="39">
        <f>SUBTOTAL(109,AR$4:AR$57)</f>
        <v>51</v>
      </c>
      <c r="AS63" s="39"/>
      <c r="AT63" s="39">
        <f>SUBTOTAL(109,AT$4:AT$58)</f>
        <v>0</v>
      </c>
      <c r="AU63" s="39">
        <f>SUBTOTAL(109,AU$4:AU$57)</f>
        <v>51</v>
      </c>
      <c r="AV63" s="39"/>
      <c r="AW63" s="39">
        <f>SUBTOTAL(109,AW$4:AW$58)</f>
        <v>0</v>
      </c>
      <c r="AX63" s="39">
        <f>SUBTOTAL(109,AX$4:AX$57)</f>
        <v>51</v>
      </c>
      <c r="AY63" s="39"/>
      <c r="AZ63" s="39">
        <f t="shared" ref="AZ63:CC63" si="70">SUBTOTAL(109,AZ$4:AZ$57)</f>
        <v>0</v>
      </c>
      <c r="BA63" s="39" t="e">
        <f t="shared" si="70"/>
        <v>#REF!</v>
      </c>
      <c r="BB63" s="39" t="e">
        <f t="shared" si="70"/>
        <v>#REF!</v>
      </c>
      <c r="BC63" s="39">
        <f t="shared" si="70"/>
        <v>0</v>
      </c>
      <c r="BD63" s="39" t="e">
        <f t="shared" si="70"/>
        <v>#REF!</v>
      </c>
      <c r="BE63" s="39" t="e">
        <f t="shared" si="70"/>
        <v>#REF!</v>
      </c>
      <c r="BF63" s="39">
        <f t="shared" si="70"/>
        <v>0</v>
      </c>
      <c r="BG63" s="39" t="e">
        <f t="shared" si="70"/>
        <v>#REF!</v>
      </c>
      <c r="BH63" s="39" t="e">
        <f t="shared" si="70"/>
        <v>#REF!</v>
      </c>
      <c r="BI63" s="39">
        <f t="shared" si="70"/>
        <v>0</v>
      </c>
      <c r="BJ63" s="39" t="e">
        <f t="shared" si="70"/>
        <v>#REF!</v>
      </c>
      <c r="BK63" s="39" t="e">
        <f t="shared" si="70"/>
        <v>#REF!</v>
      </c>
      <c r="BL63" s="39">
        <f t="shared" si="70"/>
        <v>0</v>
      </c>
      <c r="BM63" s="39" t="e">
        <f t="shared" si="70"/>
        <v>#REF!</v>
      </c>
      <c r="BN63" s="39" t="e">
        <f t="shared" si="70"/>
        <v>#REF!</v>
      </c>
      <c r="BO63" s="39">
        <f t="shared" si="70"/>
        <v>0</v>
      </c>
      <c r="BP63" s="39" t="e">
        <f t="shared" si="70"/>
        <v>#REF!</v>
      </c>
      <c r="BQ63" s="39" t="e">
        <f t="shared" si="70"/>
        <v>#REF!</v>
      </c>
      <c r="BR63" s="39">
        <f t="shared" si="70"/>
        <v>0</v>
      </c>
      <c r="BS63" s="39" t="e">
        <f t="shared" si="70"/>
        <v>#REF!</v>
      </c>
      <c r="BT63" s="39" t="e">
        <f t="shared" si="70"/>
        <v>#REF!</v>
      </c>
      <c r="BU63" s="39">
        <f t="shared" si="70"/>
        <v>0</v>
      </c>
      <c r="BV63" s="39" t="e">
        <f t="shared" si="70"/>
        <v>#REF!</v>
      </c>
      <c r="BW63" s="39" t="e">
        <f t="shared" si="70"/>
        <v>#REF!</v>
      </c>
      <c r="BX63" s="39">
        <f t="shared" si="70"/>
        <v>0</v>
      </c>
      <c r="BY63" s="39" t="e">
        <f t="shared" si="70"/>
        <v>#REF!</v>
      </c>
      <c r="BZ63" s="39" t="e">
        <f t="shared" si="70"/>
        <v>#REF!</v>
      </c>
      <c r="CA63" s="39">
        <f t="shared" si="70"/>
        <v>0</v>
      </c>
      <c r="CB63" s="39" t="e">
        <f t="shared" si="70"/>
        <v>#REF!</v>
      </c>
      <c r="CC63" s="39" t="e">
        <f t="shared" si="70"/>
        <v>#REF!</v>
      </c>
      <c r="CD63" s="38"/>
      <c r="CE63" s="40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82" x14ac:dyDescent="0.2">
      <c r="A65" s="41"/>
      <c r="B65" s="41"/>
      <c r="C65" s="41"/>
      <c r="D65" s="41"/>
      <c r="E65" s="41"/>
      <c r="F65" s="41"/>
      <c r="G65" s="41"/>
      <c r="H65" s="41"/>
      <c r="I65" s="41"/>
      <c r="J65" s="157"/>
      <c r="K65" s="158"/>
      <c r="L65" s="41"/>
      <c r="M65" s="42"/>
      <c r="N65" s="41"/>
      <c r="O65" s="41"/>
      <c r="P65" s="42"/>
      <c r="Q65" s="41"/>
      <c r="R65" s="41"/>
      <c r="S65" s="42"/>
      <c r="T65" s="41"/>
      <c r="U65" s="41"/>
      <c r="V65" s="42"/>
      <c r="W65" s="41"/>
      <c r="X65" s="41"/>
      <c r="Y65" s="42"/>
      <c r="Z65" s="41"/>
      <c r="AA65" s="41"/>
      <c r="AB65" s="42"/>
      <c r="AC65" s="41"/>
      <c r="AD65" s="41"/>
      <c r="AE65" s="42"/>
      <c r="AF65" s="41"/>
      <c r="AG65" s="41"/>
      <c r="AH65" s="42"/>
      <c r="AI65" s="41"/>
      <c r="AJ65" s="41"/>
      <c r="AK65" s="42"/>
      <c r="AL65" s="41"/>
      <c r="AM65" s="41"/>
      <c r="AN65" s="42"/>
      <c r="AO65" s="41"/>
      <c r="AP65" s="41"/>
      <c r="AQ65" s="42"/>
      <c r="AR65" s="41"/>
      <c r="AS65" s="41"/>
      <c r="AT65" s="42"/>
      <c r="AU65" s="41"/>
      <c r="AV65" s="41"/>
      <c r="AW65" s="42"/>
      <c r="AX65" s="41"/>
      <c r="AY65" s="41"/>
      <c r="AZ65" s="42"/>
      <c r="BA65" s="41"/>
      <c r="BB65" s="41"/>
      <c r="BC65" s="42"/>
      <c r="BD65" s="41"/>
      <c r="BE65" s="41"/>
      <c r="BF65" s="42"/>
      <c r="BG65" s="41"/>
      <c r="BH65" s="41"/>
      <c r="BI65" s="42"/>
      <c r="BJ65" s="41"/>
      <c r="BK65" s="41"/>
      <c r="BL65" s="42"/>
      <c r="BM65" s="41"/>
      <c r="BN65" s="41"/>
      <c r="BO65" s="42"/>
      <c r="BP65" s="41"/>
      <c r="BQ65" s="41"/>
      <c r="BR65" s="42"/>
      <c r="BS65" s="41"/>
      <c r="BT65" s="41"/>
      <c r="BU65" s="42"/>
      <c r="BV65" s="41"/>
      <c r="BW65" s="41"/>
      <c r="BX65" s="42"/>
      <c r="BY65" s="41"/>
      <c r="BZ65" s="41"/>
      <c r="CA65" s="42"/>
      <c r="CB65" s="41"/>
      <c r="CC65" s="41"/>
      <c r="CD65" s="41"/>
    </row>
    <row r="66" spans="1:82" x14ac:dyDescent="0.2">
      <c r="A66" s="41"/>
      <c r="B66" s="41"/>
      <c r="C66" s="41"/>
      <c r="D66" s="41"/>
      <c r="E66" s="41"/>
      <c r="F66" s="41"/>
      <c r="G66" s="41"/>
    </row>
    <row r="67" spans="1:82" x14ac:dyDescent="0.2">
      <c r="A67" s="41"/>
      <c r="B67" s="41"/>
      <c r="C67" s="41"/>
      <c r="D67" s="41"/>
      <c r="E67" s="41"/>
      <c r="F67" s="41"/>
      <c r="G67" s="41"/>
    </row>
  </sheetData>
  <autoFilter ref="C3:CE57"/>
  <mergeCells count="48">
    <mergeCell ref="AE59:AF59"/>
    <mergeCell ref="AB59:AC59"/>
    <mergeCell ref="Y59:Z59"/>
    <mergeCell ref="AE1:AG1"/>
    <mergeCell ref="AB1:AD1"/>
    <mergeCell ref="Y1:AA1"/>
    <mergeCell ref="BX1:BZ1"/>
    <mergeCell ref="BX59:BY59"/>
    <mergeCell ref="CA1:CC1"/>
    <mergeCell ref="CA59:CB59"/>
    <mergeCell ref="BR1:BT1"/>
    <mergeCell ref="BR59:BS59"/>
    <mergeCell ref="BU1:BW1"/>
    <mergeCell ref="BU59:BV59"/>
    <mergeCell ref="BL1:BN1"/>
    <mergeCell ref="BL59:BM59"/>
    <mergeCell ref="BO1:BQ1"/>
    <mergeCell ref="BO59:BP59"/>
    <mergeCell ref="AZ1:BB1"/>
    <mergeCell ref="AZ59:BA59"/>
    <mergeCell ref="BC1:BE1"/>
    <mergeCell ref="BC59:BD59"/>
    <mergeCell ref="BF1:BH1"/>
    <mergeCell ref="BF59:BG59"/>
    <mergeCell ref="BI1:BK1"/>
    <mergeCell ref="BI59:BJ59"/>
    <mergeCell ref="V1:X1"/>
    <mergeCell ref="J59:K59"/>
    <mergeCell ref="M59:N59"/>
    <mergeCell ref="P59:Q59"/>
    <mergeCell ref="S59:T59"/>
    <mergeCell ref="V59:W59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59:AU59"/>
    <mergeCell ref="AW59:AX59"/>
    <mergeCell ref="AH59:AI59"/>
    <mergeCell ref="AK59:AL59"/>
    <mergeCell ref="AN59:AO59"/>
    <mergeCell ref="AQ59:AR59"/>
  </mergeCells>
  <phoneticPr fontId="2" type="noConversion"/>
  <conditionalFormatting sqref="I63">
    <cfRule type="cellIs" dxfId="47" priority="11" stopIfTrue="1" operator="lessThan">
      <formula>C63*0.75</formula>
    </cfRule>
    <cfRule type="cellIs" dxfId="46" priority="11" stopIfTrue="1" operator="between">
      <formula>C63*0.75</formula>
      <formula>#REF!</formula>
    </cfRule>
    <cfRule type="cellIs" dxfId="45" priority="11" stopIfTrue="1" operator="greaterThan">
      <formula>C63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57 AW4:AW57 AT4:AT57 AQ4:AQ57 AN4:AN57 AK4:AK57 AH4:AH57 AE4:AE57 AB4:AB57 Y4:Y57 V4:V57 CA4:CA57 BX4:BX57 BU4:BU57 BR4:BR57 BO4:BO57 BL4:BL57 BI4:BI57 BF4:BF57 BC4:BC57 AZ4:AZ57 M4:M57 J4:J57 P4:P57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57 AX4:AX57 AU4:AU57 AR4:AR57 AL4:AL57 AF4:AF57 AC4:AC57 Z4:Z57 W4:W57 Q4:Q57 CB4:CB57 BY4:BY57 BV4:BV57 BS4:BS57 BP4:BP57 BM4:BM57 BJ4:BJ57 BG4:BG57 BD4:BD57 BA4:BA57 K4:K57 T4:T57 AI4:AI57 AO4:AO57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58 H4:I57 D4:D17 A18:E57 A4:B17">
    <cfRule type="expression" dxfId="37" priority="18" stopIfTrue="1">
      <formula>MOD(ROW(),2)</formula>
    </cfRule>
  </conditionalFormatting>
  <conditionalFormatting sqref="CC4:CC57 BZ4:BZ57 BW4:BW57 BT4:BT57 BQ4:BQ57 BN4:BN57 BK4:BK57 BH4:BH57 BE4:BE57 BB4:BB57 X4:X57 U4:U57 R4:R57 O4:O57 AY4:AY57 AV4:AV57 AS4:AS57 AP4:AP57 AM4:AM57 AJ4:AJ57 AG4:AG57 AD4:AD57 AA4:AA57 L4:L57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4:K65 M64:N65">
    <cfRule type="expression" dxfId="31" priority="8" stopIfTrue="1">
      <formula>"I1=TODAY()"</formula>
    </cfRule>
  </conditionalFormatting>
  <conditionalFormatting sqref="G59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57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57">
      <formula1>Members</formula1>
    </dataValidation>
    <dataValidation type="list" allowBlank="1" showInputMessage="1" showErrorMessage="1" sqref="A4:A57">
      <formula1>Worktype</formula1>
    </dataValidation>
    <dataValidation type="list" allowBlank="1" showInputMessage="1" showErrorMessage="1" sqref="B4:B5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51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53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42686.5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42686.5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51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53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27" sqref="D2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42661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9" t="s">
        <v>47</v>
      </c>
      <c r="C5" s="200"/>
      <c r="D5" s="200"/>
      <c r="E5" s="200"/>
      <c r="F5" s="200"/>
      <c r="G5" s="201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2"/>
      <c r="X6" s="203"/>
      <c r="Y6" s="203"/>
      <c r="Z6" s="203"/>
      <c r="AA6" s="203"/>
      <c r="AB6" s="204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SUMIF(Sprint!$F$4:$F$1850,E8,Sprint!$AX$4:$AX$1850)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6">
        <f t="shared" ref="W8:W25" si="5">IF(E8="unassigned",0,(COUNTIF(I8:V8,1)*$C$6)*F8)</f>
        <v>0</v>
      </c>
      <c r="X8" s="197"/>
      <c r="Y8" s="197"/>
      <c r="Z8" s="197"/>
      <c r="AA8" s="197"/>
      <c r="AB8" s="198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SUMIF(Sprint!$F$4:$F$1850,E9,Sprint!$AX$4:$AX$1850)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6">
        <f t="shared" si="5"/>
        <v>0</v>
      </c>
      <c r="X9" s="197"/>
      <c r="Y9" s="197"/>
      <c r="Z9" s="197"/>
      <c r="AA9" s="197"/>
      <c r="AB9" s="198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SUMIF(Sprint!$F$4:$F$1850,E10,Sprint!$AX$4:$AX$1850)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6">
        <f t="shared" si="5"/>
        <v>0</v>
      </c>
      <c r="X10" s="197"/>
      <c r="Y10" s="197"/>
      <c r="Z10" s="197"/>
      <c r="AA10" s="197"/>
      <c r="AB10" s="198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SUMIF(Sprint!$F$4:$F$1850,E11,Sprint!$AX$4:$AX$1850)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6">
        <f t="shared" si="5"/>
        <v>0</v>
      </c>
      <c r="X11" s="197"/>
      <c r="Y11" s="197"/>
      <c r="Z11" s="197"/>
      <c r="AA11" s="197"/>
      <c r="AB11" s="198"/>
    </row>
    <row r="12" spans="2:28" ht="13.5" thickBot="1" x14ac:dyDescent="0.25">
      <c r="B12" s="96"/>
      <c r="D12" s="97"/>
      <c r="E12" s="18"/>
      <c r="F12" s="89"/>
      <c r="G12" s="83">
        <f>SUMIF(Sprint!$F$4:$F$1850,E12,Sprint!$AX$4:$AX$1850)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6">
        <f t="shared" si="5"/>
        <v>0</v>
      </c>
      <c r="X12" s="197"/>
      <c r="Y12" s="197"/>
      <c r="Z12" s="197"/>
      <c r="AA12" s="197"/>
      <c r="AB12" s="198"/>
    </row>
    <row r="13" spans="2:28" ht="13.5" thickBot="1" x14ac:dyDescent="0.25">
      <c r="B13" s="96"/>
      <c r="D13" s="98"/>
      <c r="E13" s="18"/>
      <c r="F13" s="89"/>
      <c r="G13" s="83">
        <f>SUMIF(Sprint!$F$4:$F$1850,E13,Sprint!$AX$4:$AX$1850)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6">
        <f t="shared" si="5"/>
        <v>0</v>
      </c>
      <c r="X13" s="197"/>
      <c r="Y13" s="197"/>
      <c r="Z13" s="197"/>
      <c r="AA13" s="197"/>
      <c r="AB13" s="198"/>
    </row>
    <row r="14" spans="2:28" ht="13.5" thickBot="1" x14ac:dyDescent="0.25">
      <c r="B14" s="96"/>
      <c r="D14" s="62"/>
      <c r="E14" s="18"/>
      <c r="F14" s="89"/>
      <c r="G14" s="83">
        <f>SUMIF(Sprint!$F$4:$F$1850,E14,Sprint!$AX$4:$AX$1850)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6">
        <f t="shared" si="5"/>
        <v>0</v>
      </c>
      <c r="X14" s="197"/>
      <c r="Y14" s="197"/>
      <c r="Z14" s="197"/>
      <c r="AA14" s="197"/>
      <c r="AB14" s="198"/>
    </row>
    <row r="15" spans="2:28" ht="13.5" thickBot="1" x14ac:dyDescent="0.25">
      <c r="B15" s="96"/>
      <c r="D15" s="62"/>
      <c r="E15" s="18"/>
      <c r="F15" s="89"/>
      <c r="G15" s="83">
        <f>SUMIF(Sprint!$F$4:$F$1850,E15,Sprint!$AX$4:$AX$1850)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6">
        <f t="shared" si="5"/>
        <v>0</v>
      </c>
      <c r="X15" s="197"/>
      <c r="Y15" s="197"/>
      <c r="Z15" s="197"/>
      <c r="AA15" s="197"/>
      <c r="AB15" s="198"/>
    </row>
    <row r="16" spans="2:28" ht="13.5" thickBot="1" x14ac:dyDescent="0.25">
      <c r="B16" s="96"/>
      <c r="D16" s="98"/>
      <c r="E16" s="18"/>
      <c r="F16" s="89"/>
      <c r="G16" s="83">
        <f>SUMIF(Sprint!$F$4:$F$1850,E16,Sprint!$AX$4:$AX$1850)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6">
        <f t="shared" si="5"/>
        <v>0</v>
      </c>
      <c r="X16" s="197"/>
      <c r="Y16" s="197"/>
      <c r="Z16" s="197"/>
      <c r="AA16" s="197"/>
      <c r="AB16" s="198"/>
    </row>
    <row r="17" spans="2:28" ht="13.5" thickBot="1" x14ac:dyDescent="0.25">
      <c r="B17" s="96"/>
      <c r="D17" s="98"/>
      <c r="E17" s="18"/>
      <c r="F17" s="89"/>
      <c r="G17" s="83">
        <f>SUMIF(Sprint!$F$4:$F$1850,E17,Sprint!$AX$4:$AX$1850)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6">
        <f t="shared" si="5"/>
        <v>0</v>
      </c>
      <c r="X17" s="197"/>
      <c r="Y17" s="197"/>
      <c r="Z17" s="197"/>
      <c r="AA17" s="197"/>
      <c r="AB17" s="198"/>
    </row>
    <row r="18" spans="2:28" ht="13.5" thickBot="1" x14ac:dyDescent="0.25">
      <c r="B18" s="96"/>
      <c r="D18" s="98"/>
      <c r="E18" s="18"/>
      <c r="F18" s="89"/>
      <c r="G18" s="83">
        <f>SUMIF(Sprint!$F$4:$F$1850,E18,Sprint!$AX$4:$AX$1850)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6">
        <f t="shared" si="5"/>
        <v>0</v>
      </c>
      <c r="X18" s="197"/>
      <c r="Y18" s="197"/>
      <c r="Z18" s="197"/>
      <c r="AA18" s="197"/>
      <c r="AB18" s="198"/>
    </row>
    <row r="19" spans="2:28" ht="13.5" thickBot="1" x14ac:dyDescent="0.25">
      <c r="B19" s="96"/>
      <c r="D19" s="98"/>
      <c r="E19" s="18"/>
      <c r="F19" s="89"/>
      <c r="G19" s="83">
        <f>SUMIF(Sprint!$F$4:$F$1850,E19,Sprint!$AX$4:$AX$1850)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6">
        <f t="shared" si="5"/>
        <v>0</v>
      </c>
      <c r="X19" s="197"/>
      <c r="Y19" s="197"/>
      <c r="Z19" s="197"/>
      <c r="AA19" s="197"/>
      <c r="AB19" s="198"/>
    </row>
    <row r="20" spans="2:28" ht="13.5" thickBot="1" x14ac:dyDescent="0.25">
      <c r="B20" s="96"/>
      <c r="D20" s="98"/>
      <c r="E20" s="18"/>
      <c r="F20" s="89"/>
      <c r="G20" s="83">
        <f>SUMIF(Sprint!$F$4:$F$1850,E20,Sprint!$AX$4:$AX$1850)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6">
        <f t="shared" si="5"/>
        <v>0</v>
      </c>
      <c r="X20" s="197"/>
      <c r="Y20" s="197"/>
      <c r="Z20" s="197"/>
      <c r="AA20" s="197"/>
      <c r="AB20" s="198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SUMIF(Sprint!$F$4:$F$1850,E21,Sprint!$AX$4:$AX$1850)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6">
        <f t="shared" si="5"/>
        <v>0</v>
      </c>
      <c r="X21" s="197"/>
      <c r="Y21" s="197"/>
      <c r="Z21" s="197"/>
      <c r="AA21" s="197"/>
      <c r="AB21" s="198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SUMIF(Sprint!$F$4:$F$1850,E22,Sprint!$AX$4:$AX$1850)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6">
        <f t="shared" si="5"/>
        <v>0</v>
      </c>
      <c r="X22" s="197"/>
      <c r="Y22" s="197"/>
      <c r="Z22" s="197"/>
      <c r="AA22" s="197"/>
      <c r="AB22" s="198"/>
    </row>
    <row r="23" spans="2:28" ht="13.5" thickBot="1" x14ac:dyDescent="0.25">
      <c r="B23" s="70"/>
      <c r="D23" s="98"/>
      <c r="E23" s="18"/>
      <c r="F23" s="102"/>
      <c r="G23" s="83">
        <f>SUMIF(Sprint!$F$4:$F$1850,E23,Sprint!$AX$4:$AX$1850)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6">
        <f t="shared" si="5"/>
        <v>0</v>
      </c>
      <c r="X23" s="197"/>
      <c r="Y23" s="197"/>
      <c r="Z23" s="197"/>
      <c r="AA23" s="197"/>
      <c r="AB23" s="198"/>
    </row>
    <row r="24" spans="2:28" ht="13.5" thickBot="1" x14ac:dyDescent="0.25">
      <c r="B24" s="96"/>
      <c r="D24" s="98"/>
      <c r="E24" s="18"/>
      <c r="F24" s="102"/>
      <c r="G24" s="83">
        <f>SUMIF(Sprint!$F$4:$F$1850,E24,Sprint!$AX$4:$AX$1850)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6">
        <f t="shared" si="5"/>
        <v>0</v>
      </c>
      <c r="X24" s="197"/>
      <c r="Y24" s="197"/>
      <c r="Z24" s="197"/>
      <c r="AA24" s="197"/>
      <c r="AB24" s="198"/>
    </row>
    <row r="25" spans="2:28" ht="13.5" thickBot="1" x14ac:dyDescent="0.25">
      <c r="B25" s="96"/>
      <c r="D25" s="98"/>
      <c r="E25" s="103"/>
      <c r="F25" s="104"/>
      <c r="G25" s="83">
        <f>SUMIF(Sprint!$F$4:$F$1850,E25,Sprint!$AX$4:$AX$1850)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6">
        <f t="shared" si="5"/>
        <v>0</v>
      </c>
      <c r="X25" s="197"/>
      <c r="Y25" s="197"/>
      <c r="Z25" s="197"/>
      <c r="AA25" s="197"/>
      <c r="AB25" s="198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8" sqref="F8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168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169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170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171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172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173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174</v>
      </c>
      <c r="D14" s="188" t="s">
        <v>175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0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COUNTIF(Sprint!$A$4:$A$88, "Feature")</f>
        <v>13</v>
      </c>
      <c r="C2" s="181">
        <f>B2/$B$6</f>
        <v>0.61904761904761907</v>
      </c>
    </row>
    <row r="3" spans="1:3" ht="15" x14ac:dyDescent="0.25">
      <c r="A3" s="174" t="s">
        <v>106</v>
      </c>
      <c r="B3" s="175">
        <f>COUNTIF(Sprint!$A$4:$A$88,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COUNTIF(Sprint!$A$4:$A$88, "Precondition")</f>
        <v>4</v>
      </c>
      <c r="C4" s="181">
        <f t="shared" si="0"/>
        <v>0.19047619047619047</v>
      </c>
    </row>
    <row r="5" spans="1:3" ht="15" x14ac:dyDescent="0.25">
      <c r="A5" s="174" t="s">
        <v>108</v>
      </c>
      <c r="B5" s="175">
        <f>COUNTIF(Sprint!$A$4:$A$88, "Spike")</f>
        <v>4</v>
      </c>
      <c r="C5" s="181">
        <f t="shared" si="0"/>
        <v>0.19047619047619047</v>
      </c>
    </row>
    <row r="6" spans="1:3" ht="15" x14ac:dyDescent="0.25">
      <c r="A6" s="176" t="s">
        <v>128</v>
      </c>
      <c r="B6" s="182">
        <f>SUM(B2:B5)</f>
        <v>21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COUNTIF(Sprint!$B$4:$B$205, "Data Model")</f>
        <v>2</v>
      </c>
      <c r="C9" s="181">
        <f>B9/$B$25</f>
        <v>9.5238095238095233E-2</v>
      </c>
    </row>
    <row r="10" spans="1:3" ht="15" x14ac:dyDescent="0.25">
      <c r="A10" s="174" t="s">
        <v>111</v>
      </c>
      <c r="B10" s="175">
        <f>COUNTIF(Sprint!$B$4:$B$205,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COUNTIF(Sprint!$B$4:$B$205,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COUNTIF(Sprint!$B$4:$B$205, "Data Conversions")</f>
        <v>2</v>
      </c>
      <c r="C12" s="181">
        <f t="shared" ref="C12:C24" si="1">B12/$B$25</f>
        <v>9.5238095238095233E-2</v>
      </c>
    </row>
    <row r="13" spans="1:3" ht="15" x14ac:dyDescent="0.25">
      <c r="A13" s="174" t="s">
        <v>114</v>
      </c>
      <c r="B13" s="175">
        <f>COUNTIF(Sprint!$B$4:$B$205,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COUNTIF(Sprint!$B$4:$B$205,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COUNTIF(Sprint!$B$4:$B$205, "Views")</f>
        <v>2</v>
      </c>
      <c r="C15" s="181">
        <f t="shared" si="1"/>
        <v>9.5238095238095233E-2</v>
      </c>
    </row>
    <row r="16" spans="1:3" ht="15" x14ac:dyDescent="0.25">
      <c r="A16" s="174" t="s">
        <v>117</v>
      </c>
      <c r="B16" s="175">
        <f>COUNTIF(Sprint!$B$4:$B$205,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COUNTIF(Sprint!$B$4:$B$205,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COUNTIF(Sprint!$B$4:$B$205,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COUNTIF(Sprint!$B$4:$B$205,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COUNTIF(Sprint!$B$4:$B$205,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COUNTIF(Sprint!$B$4:$B$205, "Deployment")</f>
        <v>11</v>
      </c>
      <c r="C21" s="181">
        <f t="shared" si="1"/>
        <v>0.52380952380952384</v>
      </c>
    </row>
    <row r="22" spans="1:3" ht="15" x14ac:dyDescent="0.25">
      <c r="A22" s="174" t="s">
        <v>123</v>
      </c>
      <c r="B22" s="175">
        <f>COUNTIF(Sprint!$B$4:$B$205,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COUNTIF(Sprint!$B$4:$B$205, "Testing")</f>
        <v>4</v>
      </c>
      <c r="C23" s="181">
        <f t="shared" si="1"/>
        <v>0.19047619047619047</v>
      </c>
    </row>
    <row r="24" spans="1:3" ht="15" x14ac:dyDescent="0.25">
      <c r="A24" s="174" t="s">
        <v>125</v>
      </c>
      <c r="B24" s="175">
        <f>COUNTIF(Sprint!$B$4:$B$205,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21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COUNTIF(Sprint!$G$4:$G$88, "Complete")</f>
        <v>1</v>
      </c>
      <c r="C28" s="181">
        <f ca="1">B28/$B$33</f>
        <v>1.9230769230769232E-2</v>
      </c>
    </row>
    <row r="29" spans="1:3" ht="15" x14ac:dyDescent="0.25">
      <c r="A29" s="174" t="s">
        <v>130</v>
      </c>
      <c r="B29" s="175">
        <f ca="1">COUNTIF(Sprint!$G$4:$G$88,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131</v>
      </c>
      <c r="B30" s="175">
        <f ca="1">COUNTIF(Sprint!$G$4:$G$88, "Pending")</f>
        <v>51</v>
      </c>
      <c r="C30" s="181">
        <f t="shared" ca="1" si="2"/>
        <v>0.98076923076923073</v>
      </c>
    </row>
    <row r="31" spans="1:3" ht="15" x14ac:dyDescent="0.25">
      <c r="A31" s="174" t="s">
        <v>126</v>
      </c>
      <c r="B31" s="175">
        <f ca="1">COUNTIF(Sprint!$G$4:$G$88,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COUNTIF(Sprint!$G$4:$G$88,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52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2016-10-18T20:27:06Z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