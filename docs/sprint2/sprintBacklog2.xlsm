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Sprint!$C$3:$CE$64</definedName>
    <definedName name="Burndown" localSheetId="1">Sprint!$J$4:$CD$65</definedName>
    <definedName name="Burndown">Sprint!$J$4:$CD$65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Sprint!$CE$4:$CE$65</definedName>
    <definedName name="TotalEffort">Sprint!$CE$4:$CE$65</definedName>
    <definedName name="Worktype">'Project Specific Reports'!$A$2:$A$5</definedName>
    <definedName name="_xlnm.Print_Area" localSheetId="2">Capacity!$A$4:$AB$22</definedName>
  </definedNames>
  <calcPr calcId="145621"/>
</workbook>
</file>

<file path=xl/calcChain.xml><?xml version="1.0" encoding="utf-8"?>
<calcChain xmlns="http://schemas.openxmlformats.org/spreadsheetml/2006/main">
  <c r="E20" i="8" l="1"/>
  <c r="J1" i="7"/>
  <c r="BA15" i="7" l="1"/>
  <c r="BD15" i="7" s="1"/>
  <c r="BG15" i="7" s="1"/>
  <c r="BJ15" i="7" s="1"/>
  <c r="BM15" i="7" s="1"/>
  <c r="BP15" i="7" s="1"/>
  <c r="BS15" i="7" s="1"/>
  <c r="BV15" i="7" s="1"/>
  <c r="BY15" i="7" s="1"/>
  <c r="CB15" i="7" s="1"/>
  <c r="K15" i="7"/>
  <c r="L15" i="7" s="1"/>
  <c r="BA16" i="7"/>
  <c r="BD16" i="7" s="1"/>
  <c r="BG16" i="7" s="1"/>
  <c r="BJ16" i="7" s="1"/>
  <c r="BM16" i="7" s="1"/>
  <c r="BP16" i="7" s="1"/>
  <c r="BS16" i="7" s="1"/>
  <c r="BV16" i="7" s="1"/>
  <c r="BY16" i="7" s="1"/>
  <c r="CB16" i="7" s="1"/>
  <c r="K16" i="7"/>
  <c r="L16" i="7" s="1"/>
  <c r="N15" i="7" l="1"/>
  <c r="Q15" i="7" s="1"/>
  <c r="T15" i="7" s="1"/>
  <c r="W15" i="7" s="1"/>
  <c r="Z15" i="7" s="1"/>
  <c r="AC15" i="7" s="1"/>
  <c r="AF15" i="7" s="1"/>
  <c r="AI15" i="7" s="1"/>
  <c r="AL15" i="7" s="1"/>
  <c r="AO15" i="7" s="1"/>
  <c r="AR15" i="7" s="1"/>
  <c r="AU15" i="7" s="1"/>
  <c r="AX15" i="7" s="1"/>
  <c r="N16" i="7"/>
  <c r="Q16" i="7" s="1"/>
  <c r="T16" i="7" s="1"/>
  <c r="W16" i="7" s="1"/>
  <c r="Z16" i="7" s="1"/>
  <c r="AC16" i="7" s="1"/>
  <c r="AF16" i="7" s="1"/>
  <c r="AI16" i="7" s="1"/>
  <c r="AL16" i="7" s="1"/>
  <c r="AO16" i="7" s="1"/>
  <c r="AR16" i="7" s="1"/>
  <c r="AU16" i="7" s="1"/>
  <c r="AX16" i="7" s="1"/>
  <c r="BA17" i="7"/>
  <c r="BD17" i="7" s="1"/>
  <c r="BG17" i="7" s="1"/>
  <c r="BJ17" i="7" s="1"/>
  <c r="BM17" i="7" s="1"/>
  <c r="BP17" i="7" s="1"/>
  <c r="BS17" i="7" s="1"/>
  <c r="BV17" i="7" s="1"/>
  <c r="BY17" i="7" s="1"/>
  <c r="CB17" i="7" s="1"/>
  <c r="K17" i="7"/>
  <c r="L17" i="7" s="1"/>
  <c r="BA18" i="7"/>
  <c r="BD18" i="7" s="1"/>
  <c r="BG18" i="7" s="1"/>
  <c r="BJ18" i="7" s="1"/>
  <c r="BM18" i="7" s="1"/>
  <c r="BP18" i="7" s="1"/>
  <c r="BS18" i="7" s="1"/>
  <c r="BV18" i="7" s="1"/>
  <c r="BY18" i="7" s="1"/>
  <c r="CB18" i="7" s="1"/>
  <c r="K18" i="7"/>
  <c r="L18" i="7" s="1"/>
  <c r="BA19" i="7"/>
  <c r="BD19" i="7" s="1"/>
  <c r="BG19" i="7" s="1"/>
  <c r="BJ19" i="7" s="1"/>
  <c r="BM19" i="7" s="1"/>
  <c r="BP19" i="7" s="1"/>
  <c r="BS19" i="7" s="1"/>
  <c r="BV19" i="7" s="1"/>
  <c r="BY19" i="7" s="1"/>
  <c r="CB19" i="7" s="1"/>
  <c r="K19" i="7"/>
  <c r="L19" i="7" s="1"/>
  <c r="BA20" i="7"/>
  <c r="BD20" i="7" s="1"/>
  <c r="BG20" i="7" s="1"/>
  <c r="BJ20" i="7" s="1"/>
  <c r="BM20" i="7" s="1"/>
  <c r="BP20" i="7" s="1"/>
  <c r="BS20" i="7" s="1"/>
  <c r="BV20" i="7" s="1"/>
  <c r="BY20" i="7" s="1"/>
  <c r="CB20" i="7" s="1"/>
  <c r="K20" i="7"/>
  <c r="L20" i="7" s="1"/>
  <c r="BA9" i="7"/>
  <c r="BD9" i="7" s="1"/>
  <c r="BG9" i="7" s="1"/>
  <c r="BJ9" i="7" s="1"/>
  <c r="BM9" i="7" s="1"/>
  <c r="BP9" i="7" s="1"/>
  <c r="BS9" i="7" s="1"/>
  <c r="BV9" i="7" s="1"/>
  <c r="BY9" i="7" s="1"/>
  <c r="CB9" i="7" s="1"/>
  <c r="K9" i="7"/>
  <c r="O15" i="7" l="1"/>
  <c r="O16" i="7"/>
  <c r="N17" i="7"/>
  <c r="Q17" i="7" s="1"/>
  <c r="T17" i="7" s="1"/>
  <c r="W17" i="7" s="1"/>
  <c r="Z17" i="7" s="1"/>
  <c r="AC17" i="7" s="1"/>
  <c r="AF17" i="7" s="1"/>
  <c r="AI17" i="7" s="1"/>
  <c r="AL17" i="7" s="1"/>
  <c r="AO17" i="7" s="1"/>
  <c r="AR17" i="7" s="1"/>
  <c r="AU17" i="7" s="1"/>
  <c r="AX17" i="7" s="1"/>
  <c r="N18" i="7"/>
  <c r="Q18" i="7" s="1"/>
  <c r="T18" i="7" s="1"/>
  <c r="W18" i="7" s="1"/>
  <c r="Z18" i="7" s="1"/>
  <c r="AC18" i="7" s="1"/>
  <c r="AF18" i="7" s="1"/>
  <c r="AI18" i="7" s="1"/>
  <c r="AL18" i="7" s="1"/>
  <c r="AO18" i="7" s="1"/>
  <c r="AR18" i="7" s="1"/>
  <c r="AU18" i="7" s="1"/>
  <c r="AX18" i="7" s="1"/>
  <c r="N19" i="7"/>
  <c r="Q19" i="7" s="1"/>
  <c r="T19" i="7" s="1"/>
  <c r="W19" i="7" s="1"/>
  <c r="Z19" i="7" s="1"/>
  <c r="AC19" i="7" s="1"/>
  <c r="AF19" i="7" s="1"/>
  <c r="AI19" i="7" s="1"/>
  <c r="AL19" i="7" s="1"/>
  <c r="AO19" i="7" s="1"/>
  <c r="AR19" i="7" s="1"/>
  <c r="AU19" i="7" s="1"/>
  <c r="AX19" i="7" s="1"/>
  <c r="N20" i="7"/>
  <c r="Q20" i="7" s="1"/>
  <c r="T20" i="7" s="1"/>
  <c r="W20" i="7" s="1"/>
  <c r="Z20" i="7" s="1"/>
  <c r="AC20" i="7" s="1"/>
  <c r="AF20" i="7" s="1"/>
  <c r="AI20" i="7" s="1"/>
  <c r="AL20" i="7" s="1"/>
  <c r="AO20" i="7" s="1"/>
  <c r="AR20" i="7" s="1"/>
  <c r="AU20" i="7" s="1"/>
  <c r="AX20" i="7" s="1"/>
  <c r="N9" i="7"/>
  <c r="Q9" i="7" s="1"/>
  <c r="T9" i="7" s="1"/>
  <c r="W9" i="7" s="1"/>
  <c r="Z9" i="7" s="1"/>
  <c r="AC9" i="7" s="1"/>
  <c r="AF9" i="7" s="1"/>
  <c r="AI9" i="7" s="1"/>
  <c r="AL9" i="7" s="1"/>
  <c r="AO9" i="7" s="1"/>
  <c r="AR9" i="7" s="1"/>
  <c r="AU9" i="7" s="1"/>
  <c r="AX9" i="7" s="1"/>
  <c r="L9" i="7"/>
  <c r="BA63" i="7"/>
  <c r="BD63" i="7" s="1"/>
  <c r="BG63" i="7" s="1"/>
  <c r="BJ63" i="7" s="1"/>
  <c r="BM63" i="7" s="1"/>
  <c r="BP63" i="7" s="1"/>
  <c r="BS63" i="7" s="1"/>
  <c r="BV63" i="7" s="1"/>
  <c r="BY63" i="7" s="1"/>
  <c r="CB63" i="7" s="1"/>
  <c r="K63" i="7"/>
  <c r="L63" i="7" s="1"/>
  <c r="BA62" i="7"/>
  <c r="BD62" i="7" s="1"/>
  <c r="BG62" i="7" s="1"/>
  <c r="BJ62" i="7" s="1"/>
  <c r="BM62" i="7" s="1"/>
  <c r="BP62" i="7" s="1"/>
  <c r="BS62" i="7" s="1"/>
  <c r="BV62" i="7" s="1"/>
  <c r="BY62" i="7" s="1"/>
  <c r="CB62" i="7" s="1"/>
  <c r="K62" i="7"/>
  <c r="L62" i="7" s="1"/>
  <c r="BA61" i="7"/>
  <c r="BD61" i="7" s="1"/>
  <c r="BG61" i="7" s="1"/>
  <c r="BJ61" i="7" s="1"/>
  <c r="BM61" i="7" s="1"/>
  <c r="BP61" i="7" s="1"/>
  <c r="BS61" i="7" s="1"/>
  <c r="BV61" i="7" s="1"/>
  <c r="BY61" i="7" s="1"/>
  <c r="CB61" i="7" s="1"/>
  <c r="K61" i="7"/>
  <c r="L61" i="7" s="1"/>
  <c r="BA60" i="7"/>
  <c r="BD60" i="7" s="1"/>
  <c r="BG60" i="7" s="1"/>
  <c r="BJ60" i="7" s="1"/>
  <c r="BM60" i="7" s="1"/>
  <c r="BP60" i="7" s="1"/>
  <c r="BS60" i="7" s="1"/>
  <c r="BV60" i="7" s="1"/>
  <c r="BY60" i="7" s="1"/>
  <c r="CB60" i="7" s="1"/>
  <c r="K60" i="7"/>
  <c r="L60" i="7" s="1"/>
  <c r="BA59" i="7"/>
  <c r="BD59" i="7" s="1"/>
  <c r="BG59" i="7" s="1"/>
  <c r="BJ59" i="7" s="1"/>
  <c r="BM59" i="7" s="1"/>
  <c r="BP59" i="7" s="1"/>
  <c r="BS59" i="7" s="1"/>
  <c r="BV59" i="7" s="1"/>
  <c r="BY59" i="7" s="1"/>
  <c r="CB59" i="7" s="1"/>
  <c r="K59" i="7"/>
  <c r="L59" i="7" s="1"/>
  <c r="BA58" i="7"/>
  <c r="BD58" i="7" s="1"/>
  <c r="BG58" i="7" s="1"/>
  <c r="BJ58" i="7" s="1"/>
  <c r="BM58" i="7" s="1"/>
  <c r="BP58" i="7" s="1"/>
  <c r="BS58" i="7" s="1"/>
  <c r="BV58" i="7" s="1"/>
  <c r="BY58" i="7" s="1"/>
  <c r="CB58" i="7" s="1"/>
  <c r="K58" i="7"/>
  <c r="L58" i="7" s="1"/>
  <c r="BA57" i="7"/>
  <c r="BD57" i="7" s="1"/>
  <c r="BG57" i="7" s="1"/>
  <c r="BJ57" i="7" s="1"/>
  <c r="BM57" i="7" s="1"/>
  <c r="BP57" i="7" s="1"/>
  <c r="BS57" i="7" s="1"/>
  <c r="BV57" i="7" s="1"/>
  <c r="BY57" i="7" s="1"/>
  <c r="CB57" i="7" s="1"/>
  <c r="K57" i="7"/>
  <c r="L57" i="7" s="1"/>
  <c r="BA56" i="7"/>
  <c r="BD56" i="7" s="1"/>
  <c r="BG56" i="7" s="1"/>
  <c r="BJ56" i="7" s="1"/>
  <c r="BM56" i="7" s="1"/>
  <c r="BP56" i="7" s="1"/>
  <c r="BS56" i="7" s="1"/>
  <c r="BV56" i="7" s="1"/>
  <c r="BY56" i="7" s="1"/>
  <c r="CB56" i="7" s="1"/>
  <c r="K56" i="7"/>
  <c r="L56" i="7" s="1"/>
  <c r="BA55" i="7"/>
  <c r="BD55" i="7" s="1"/>
  <c r="BG55" i="7" s="1"/>
  <c r="BJ55" i="7" s="1"/>
  <c r="BM55" i="7" s="1"/>
  <c r="BP55" i="7" s="1"/>
  <c r="BS55" i="7" s="1"/>
  <c r="BV55" i="7" s="1"/>
  <c r="BY55" i="7" s="1"/>
  <c r="CB55" i="7" s="1"/>
  <c r="K55" i="7"/>
  <c r="L55" i="7" s="1"/>
  <c r="BA54" i="7"/>
  <c r="BD54" i="7" s="1"/>
  <c r="BG54" i="7" s="1"/>
  <c r="BJ54" i="7" s="1"/>
  <c r="BM54" i="7" s="1"/>
  <c r="BP54" i="7" s="1"/>
  <c r="BS54" i="7" s="1"/>
  <c r="BV54" i="7" s="1"/>
  <c r="BY54" i="7" s="1"/>
  <c r="CB54" i="7" s="1"/>
  <c r="K54" i="7"/>
  <c r="L54" i="7" s="1"/>
  <c r="BA53" i="7"/>
  <c r="BD53" i="7" s="1"/>
  <c r="BG53" i="7" s="1"/>
  <c r="BJ53" i="7" s="1"/>
  <c r="BM53" i="7" s="1"/>
  <c r="BP53" i="7" s="1"/>
  <c r="BS53" i="7" s="1"/>
  <c r="BV53" i="7" s="1"/>
  <c r="BY53" i="7" s="1"/>
  <c r="CB53" i="7" s="1"/>
  <c r="K53" i="7"/>
  <c r="L53" i="7" s="1"/>
  <c r="BA52" i="7"/>
  <c r="BD52" i="7" s="1"/>
  <c r="BG52" i="7" s="1"/>
  <c r="BJ52" i="7" s="1"/>
  <c r="BM52" i="7" s="1"/>
  <c r="BP52" i="7" s="1"/>
  <c r="BS52" i="7" s="1"/>
  <c r="BV52" i="7" s="1"/>
  <c r="BY52" i="7" s="1"/>
  <c r="CB52" i="7" s="1"/>
  <c r="K52" i="7"/>
  <c r="L52" i="7" s="1"/>
  <c r="BA51" i="7"/>
  <c r="BD51" i="7" s="1"/>
  <c r="BG51" i="7" s="1"/>
  <c r="BJ51" i="7" s="1"/>
  <c r="BM51" i="7" s="1"/>
  <c r="BP51" i="7" s="1"/>
  <c r="BS51" i="7" s="1"/>
  <c r="BV51" i="7" s="1"/>
  <c r="BY51" i="7" s="1"/>
  <c r="CB51" i="7" s="1"/>
  <c r="K51" i="7"/>
  <c r="L51" i="7" s="1"/>
  <c r="BA50" i="7"/>
  <c r="BD50" i="7" s="1"/>
  <c r="BG50" i="7" s="1"/>
  <c r="BJ50" i="7" s="1"/>
  <c r="BM50" i="7" s="1"/>
  <c r="BP50" i="7" s="1"/>
  <c r="BS50" i="7" s="1"/>
  <c r="BV50" i="7" s="1"/>
  <c r="BY50" i="7" s="1"/>
  <c r="CB50" i="7" s="1"/>
  <c r="K50" i="7"/>
  <c r="L50" i="7" s="1"/>
  <c r="BA49" i="7"/>
  <c r="BD49" i="7" s="1"/>
  <c r="BG49" i="7" s="1"/>
  <c r="BJ49" i="7" s="1"/>
  <c r="BM49" i="7" s="1"/>
  <c r="BP49" i="7" s="1"/>
  <c r="BS49" i="7" s="1"/>
  <c r="BV49" i="7" s="1"/>
  <c r="BY49" i="7" s="1"/>
  <c r="CB49" i="7" s="1"/>
  <c r="K49" i="7"/>
  <c r="L49" i="7" s="1"/>
  <c r="BA48" i="7"/>
  <c r="BD48" i="7" s="1"/>
  <c r="BG48" i="7" s="1"/>
  <c r="BJ48" i="7" s="1"/>
  <c r="BM48" i="7" s="1"/>
  <c r="BP48" i="7" s="1"/>
  <c r="BS48" i="7" s="1"/>
  <c r="BV48" i="7" s="1"/>
  <c r="BY48" i="7" s="1"/>
  <c r="CB48" i="7" s="1"/>
  <c r="K48" i="7"/>
  <c r="L48" i="7" s="1"/>
  <c r="BA47" i="7"/>
  <c r="BD47" i="7" s="1"/>
  <c r="BG47" i="7" s="1"/>
  <c r="BJ47" i="7" s="1"/>
  <c r="BM47" i="7" s="1"/>
  <c r="BP47" i="7" s="1"/>
  <c r="BS47" i="7" s="1"/>
  <c r="BV47" i="7" s="1"/>
  <c r="BY47" i="7" s="1"/>
  <c r="CB47" i="7" s="1"/>
  <c r="K47" i="7"/>
  <c r="L47" i="7" s="1"/>
  <c r="BA46" i="7"/>
  <c r="BD46" i="7" s="1"/>
  <c r="BG46" i="7" s="1"/>
  <c r="BJ46" i="7" s="1"/>
  <c r="BM46" i="7" s="1"/>
  <c r="BP46" i="7" s="1"/>
  <c r="BS46" i="7" s="1"/>
  <c r="BV46" i="7" s="1"/>
  <c r="BY46" i="7" s="1"/>
  <c r="CB46" i="7" s="1"/>
  <c r="K46" i="7"/>
  <c r="L46" i="7" s="1"/>
  <c r="BA45" i="7"/>
  <c r="BD45" i="7" s="1"/>
  <c r="BG45" i="7" s="1"/>
  <c r="BJ45" i="7" s="1"/>
  <c r="BM45" i="7" s="1"/>
  <c r="BP45" i="7" s="1"/>
  <c r="BS45" i="7" s="1"/>
  <c r="BV45" i="7" s="1"/>
  <c r="BY45" i="7" s="1"/>
  <c r="CB45" i="7" s="1"/>
  <c r="K45" i="7"/>
  <c r="L45" i="7" s="1"/>
  <c r="BA44" i="7"/>
  <c r="BD44" i="7" s="1"/>
  <c r="BG44" i="7" s="1"/>
  <c r="BJ44" i="7" s="1"/>
  <c r="BM44" i="7" s="1"/>
  <c r="BP44" i="7" s="1"/>
  <c r="BS44" i="7" s="1"/>
  <c r="BV44" i="7" s="1"/>
  <c r="BY44" i="7" s="1"/>
  <c r="CB44" i="7" s="1"/>
  <c r="K44" i="7"/>
  <c r="L44" i="7" s="1"/>
  <c r="BA43" i="7"/>
  <c r="BD43" i="7" s="1"/>
  <c r="BG43" i="7" s="1"/>
  <c r="BJ43" i="7" s="1"/>
  <c r="BM43" i="7" s="1"/>
  <c r="BP43" i="7" s="1"/>
  <c r="BS43" i="7" s="1"/>
  <c r="BV43" i="7" s="1"/>
  <c r="BY43" i="7" s="1"/>
  <c r="CB43" i="7" s="1"/>
  <c r="K43" i="7"/>
  <c r="L43" i="7" s="1"/>
  <c r="BA42" i="7"/>
  <c r="BD42" i="7" s="1"/>
  <c r="BG42" i="7" s="1"/>
  <c r="BJ42" i="7" s="1"/>
  <c r="BM42" i="7" s="1"/>
  <c r="BP42" i="7" s="1"/>
  <c r="BS42" i="7" s="1"/>
  <c r="BV42" i="7" s="1"/>
  <c r="BY42" i="7" s="1"/>
  <c r="CB42" i="7" s="1"/>
  <c r="K42" i="7"/>
  <c r="L42" i="7" s="1"/>
  <c r="BA41" i="7"/>
  <c r="BD41" i="7" s="1"/>
  <c r="BG41" i="7" s="1"/>
  <c r="BJ41" i="7" s="1"/>
  <c r="BM41" i="7" s="1"/>
  <c r="BP41" i="7" s="1"/>
  <c r="BS41" i="7" s="1"/>
  <c r="BV41" i="7" s="1"/>
  <c r="BY41" i="7" s="1"/>
  <c r="CB41" i="7" s="1"/>
  <c r="K41" i="7"/>
  <c r="L41" i="7" s="1"/>
  <c r="BA40" i="7"/>
  <c r="BD40" i="7" s="1"/>
  <c r="BG40" i="7" s="1"/>
  <c r="BJ40" i="7" s="1"/>
  <c r="BM40" i="7" s="1"/>
  <c r="BP40" i="7" s="1"/>
  <c r="BS40" i="7" s="1"/>
  <c r="BV40" i="7" s="1"/>
  <c r="BY40" i="7" s="1"/>
  <c r="CB40" i="7" s="1"/>
  <c r="K40" i="7"/>
  <c r="L40" i="7" s="1"/>
  <c r="BA39" i="7"/>
  <c r="BD39" i="7" s="1"/>
  <c r="BG39" i="7" s="1"/>
  <c r="BJ39" i="7" s="1"/>
  <c r="BM39" i="7" s="1"/>
  <c r="BP39" i="7" s="1"/>
  <c r="BS39" i="7" s="1"/>
  <c r="BV39" i="7" s="1"/>
  <c r="BY39" i="7" s="1"/>
  <c r="CB39" i="7" s="1"/>
  <c r="K39" i="7"/>
  <c r="L39" i="7" s="1"/>
  <c r="BA38" i="7"/>
  <c r="BD38" i="7" s="1"/>
  <c r="BG38" i="7" s="1"/>
  <c r="BJ38" i="7" s="1"/>
  <c r="BM38" i="7" s="1"/>
  <c r="BP38" i="7" s="1"/>
  <c r="BS38" i="7" s="1"/>
  <c r="BV38" i="7" s="1"/>
  <c r="BY38" i="7" s="1"/>
  <c r="CB38" i="7" s="1"/>
  <c r="K38" i="7"/>
  <c r="L38" i="7" s="1"/>
  <c r="BA37" i="7"/>
  <c r="BD37" i="7" s="1"/>
  <c r="BG37" i="7" s="1"/>
  <c r="BJ37" i="7" s="1"/>
  <c r="BM37" i="7" s="1"/>
  <c r="BP37" i="7" s="1"/>
  <c r="BS37" i="7" s="1"/>
  <c r="BV37" i="7" s="1"/>
  <c r="BY37" i="7" s="1"/>
  <c r="CB37" i="7" s="1"/>
  <c r="K37" i="7"/>
  <c r="L37" i="7" s="1"/>
  <c r="BA36" i="7"/>
  <c r="BD36" i="7" s="1"/>
  <c r="BG36" i="7" s="1"/>
  <c r="BJ36" i="7" s="1"/>
  <c r="BM36" i="7" s="1"/>
  <c r="BP36" i="7" s="1"/>
  <c r="BS36" i="7" s="1"/>
  <c r="BV36" i="7" s="1"/>
  <c r="BY36" i="7" s="1"/>
  <c r="CB36" i="7" s="1"/>
  <c r="K36" i="7"/>
  <c r="L36" i="7" s="1"/>
  <c r="BA35" i="7"/>
  <c r="BD35" i="7" s="1"/>
  <c r="BG35" i="7" s="1"/>
  <c r="BJ35" i="7" s="1"/>
  <c r="BM35" i="7" s="1"/>
  <c r="BP35" i="7" s="1"/>
  <c r="BS35" i="7" s="1"/>
  <c r="BV35" i="7" s="1"/>
  <c r="BY35" i="7" s="1"/>
  <c r="CB35" i="7" s="1"/>
  <c r="K35" i="7"/>
  <c r="L35" i="7" s="1"/>
  <c r="BA34" i="7"/>
  <c r="BD34" i="7" s="1"/>
  <c r="BG34" i="7" s="1"/>
  <c r="BJ34" i="7" s="1"/>
  <c r="BM34" i="7" s="1"/>
  <c r="BP34" i="7" s="1"/>
  <c r="BS34" i="7" s="1"/>
  <c r="BV34" i="7" s="1"/>
  <c r="BY34" i="7" s="1"/>
  <c r="CB34" i="7" s="1"/>
  <c r="K34" i="7"/>
  <c r="L34" i="7" s="1"/>
  <c r="BA33" i="7"/>
  <c r="BD33" i="7" s="1"/>
  <c r="BG33" i="7" s="1"/>
  <c r="BJ33" i="7" s="1"/>
  <c r="BM33" i="7" s="1"/>
  <c r="BP33" i="7" s="1"/>
  <c r="BS33" i="7" s="1"/>
  <c r="BV33" i="7" s="1"/>
  <c r="BY33" i="7" s="1"/>
  <c r="CB33" i="7" s="1"/>
  <c r="K33" i="7"/>
  <c r="L33" i="7" s="1"/>
  <c r="BA32" i="7"/>
  <c r="BD32" i="7" s="1"/>
  <c r="BG32" i="7" s="1"/>
  <c r="BJ32" i="7" s="1"/>
  <c r="BM32" i="7" s="1"/>
  <c r="BP32" i="7" s="1"/>
  <c r="BS32" i="7" s="1"/>
  <c r="BV32" i="7" s="1"/>
  <c r="BY32" i="7" s="1"/>
  <c r="CB32" i="7" s="1"/>
  <c r="K32" i="7"/>
  <c r="L32" i="7" s="1"/>
  <c r="BA31" i="7"/>
  <c r="BD31" i="7" s="1"/>
  <c r="BG31" i="7" s="1"/>
  <c r="BJ31" i="7" s="1"/>
  <c r="BM31" i="7" s="1"/>
  <c r="BP31" i="7" s="1"/>
  <c r="BS31" i="7" s="1"/>
  <c r="BV31" i="7" s="1"/>
  <c r="BY31" i="7" s="1"/>
  <c r="CB31" i="7" s="1"/>
  <c r="K31" i="7"/>
  <c r="L31" i="7" s="1"/>
  <c r="BA30" i="7"/>
  <c r="BD30" i="7" s="1"/>
  <c r="BG30" i="7" s="1"/>
  <c r="BJ30" i="7" s="1"/>
  <c r="BM30" i="7" s="1"/>
  <c r="BP30" i="7" s="1"/>
  <c r="BS30" i="7" s="1"/>
  <c r="BV30" i="7" s="1"/>
  <c r="BY30" i="7" s="1"/>
  <c r="CB30" i="7" s="1"/>
  <c r="K30" i="7"/>
  <c r="L30" i="7" s="1"/>
  <c r="BA29" i="7"/>
  <c r="BD29" i="7" s="1"/>
  <c r="BG29" i="7" s="1"/>
  <c r="BJ29" i="7" s="1"/>
  <c r="BM29" i="7" s="1"/>
  <c r="BP29" i="7" s="1"/>
  <c r="BS29" i="7" s="1"/>
  <c r="BV29" i="7" s="1"/>
  <c r="BY29" i="7" s="1"/>
  <c r="CB29" i="7" s="1"/>
  <c r="K29" i="7"/>
  <c r="L29" i="7" s="1"/>
  <c r="BA28" i="7"/>
  <c r="BD28" i="7" s="1"/>
  <c r="BG28" i="7" s="1"/>
  <c r="BJ28" i="7" s="1"/>
  <c r="BM28" i="7" s="1"/>
  <c r="BP28" i="7" s="1"/>
  <c r="BS28" i="7" s="1"/>
  <c r="BV28" i="7" s="1"/>
  <c r="BY28" i="7" s="1"/>
  <c r="CB28" i="7" s="1"/>
  <c r="K28" i="7"/>
  <c r="BA27" i="7"/>
  <c r="BD27" i="7" s="1"/>
  <c r="BG27" i="7" s="1"/>
  <c r="BJ27" i="7" s="1"/>
  <c r="BM27" i="7" s="1"/>
  <c r="BP27" i="7" s="1"/>
  <c r="BS27" i="7" s="1"/>
  <c r="BV27" i="7" s="1"/>
  <c r="BY27" i="7" s="1"/>
  <c r="CB27" i="7" s="1"/>
  <c r="K27" i="7"/>
  <c r="L27" i="7" s="1"/>
  <c r="BA26" i="7"/>
  <c r="BD26" i="7" s="1"/>
  <c r="BG26" i="7" s="1"/>
  <c r="BJ26" i="7" s="1"/>
  <c r="BM26" i="7" s="1"/>
  <c r="BP26" i="7" s="1"/>
  <c r="BS26" i="7" s="1"/>
  <c r="BV26" i="7" s="1"/>
  <c r="BY26" i="7" s="1"/>
  <c r="CB26" i="7" s="1"/>
  <c r="K26" i="7"/>
  <c r="L26" i="7" s="1"/>
  <c r="BA25" i="7"/>
  <c r="BD25" i="7" s="1"/>
  <c r="BG25" i="7" s="1"/>
  <c r="BJ25" i="7" s="1"/>
  <c r="BM25" i="7" s="1"/>
  <c r="BP25" i="7" s="1"/>
  <c r="BS25" i="7" s="1"/>
  <c r="BV25" i="7" s="1"/>
  <c r="BY25" i="7" s="1"/>
  <c r="CB25" i="7" s="1"/>
  <c r="K25" i="7"/>
  <c r="L25" i="7" s="1"/>
  <c r="BA24" i="7"/>
  <c r="BD24" i="7" s="1"/>
  <c r="BG24" i="7" s="1"/>
  <c r="BJ24" i="7" s="1"/>
  <c r="BM24" i="7" s="1"/>
  <c r="BP24" i="7" s="1"/>
  <c r="BS24" i="7" s="1"/>
  <c r="BV24" i="7" s="1"/>
  <c r="BY24" i="7" s="1"/>
  <c r="CB24" i="7" s="1"/>
  <c r="K24" i="7"/>
  <c r="L24" i="7" s="1"/>
  <c r="BA23" i="7"/>
  <c r="BD23" i="7" s="1"/>
  <c r="BG23" i="7" s="1"/>
  <c r="BJ23" i="7" s="1"/>
  <c r="BM23" i="7" s="1"/>
  <c r="BP23" i="7" s="1"/>
  <c r="BS23" i="7" s="1"/>
  <c r="BV23" i="7" s="1"/>
  <c r="BY23" i="7" s="1"/>
  <c r="CB23" i="7" s="1"/>
  <c r="K23" i="7"/>
  <c r="L23" i="7" s="1"/>
  <c r="BA22" i="7"/>
  <c r="BD22" i="7" s="1"/>
  <c r="BG22" i="7" s="1"/>
  <c r="BJ22" i="7" s="1"/>
  <c r="BM22" i="7" s="1"/>
  <c r="BP22" i="7" s="1"/>
  <c r="BS22" i="7" s="1"/>
  <c r="BV22" i="7" s="1"/>
  <c r="BY22" i="7" s="1"/>
  <c r="CB22" i="7" s="1"/>
  <c r="K22" i="7"/>
  <c r="L22" i="7" s="1"/>
  <c r="BA21" i="7"/>
  <c r="BD21" i="7" s="1"/>
  <c r="BG21" i="7" s="1"/>
  <c r="BJ21" i="7" s="1"/>
  <c r="BM21" i="7" s="1"/>
  <c r="BP21" i="7" s="1"/>
  <c r="BS21" i="7" s="1"/>
  <c r="BV21" i="7" s="1"/>
  <c r="BY21" i="7" s="1"/>
  <c r="CB21" i="7" s="1"/>
  <c r="K21" i="7"/>
  <c r="L21" i="7" s="1"/>
  <c r="BA14" i="7"/>
  <c r="BD14" i="7" s="1"/>
  <c r="BG14" i="7" s="1"/>
  <c r="BJ14" i="7" s="1"/>
  <c r="BM14" i="7" s="1"/>
  <c r="BP14" i="7" s="1"/>
  <c r="BS14" i="7" s="1"/>
  <c r="BV14" i="7" s="1"/>
  <c r="BY14" i="7" s="1"/>
  <c r="CB14" i="7" s="1"/>
  <c r="K14" i="7"/>
  <c r="L14" i="7" s="1"/>
  <c r="BA13" i="7"/>
  <c r="BD13" i="7" s="1"/>
  <c r="BG13" i="7" s="1"/>
  <c r="BJ13" i="7" s="1"/>
  <c r="BM13" i="7" s="1"/>
  <c r="BP13" i="7" s="1"/>
  <c r="BS13" i="7" s="1"/>
  <c r="BV13" i="7" s="1"/>
  <c r="BY13" i="7" s="1"/>
  <c r="CB13" i="7" s="1"/>
  <c r="K13" i="7"/>
  <c r="L13" i="7" s="1"/>
  <c r="BA12" i="7"/>
  <c r="BD12" i="7" s="1"/>
  <c r="BG12" i="7" s="1"/>
  <c r="BJ12" i="7" s="1"/>
  <c r="BM12" i="7" s="1"/>
  <c r="BP12" i="7" s="1"/>
  <c r="BS12" i="7" s="1"/>
  <c r="BV12" i="7" s="1"/>
  <c r="BY12" i="7" s="1"/>
  <c r="CB12" i="7" s="1"/>
  <c r="K12" i="7"/>
  <c r="BA11" i="7"/>
  <c r="BD11" i="7" s="1"/>
  <c r="BG11" i="7" s="1"/>
  <c r="BJ11" i="7" s="1"/>
  <c r="BM11" i="7" s="1"/>
  <c r="BP11" i="7" s="1"/>
  <c r="BS11" i="7" s="1"/>
  <c r="BV11" i="7" s="1"/>
  <c r="BY11" i="7" s="1"/>
  <c r="CB11" i="7" s="1"/>
  <c r="K11" i="7"/>
  <c r="L11" i="7" s="1"/>
  <c r="BA10" i="7"/>
  <c r="BD10" i="7" s="1"/>
  <c r="BG10" i="7" s="1"/>
  <c r="BJ10" i="7" s="1"/>
  <c r="BM10" i="7" s="1"/>
  <c r="BP10" i="7" s="1"/>
  <c r="BS10" i="7" s="1"/>
  <c r="BV10" i="7" s="1"/>
  <c r="BY10" i="7" s="1"/>
  <c r="CB10" i="7" s="1"/>
  <c r="K10" i="7"/>
  <c r="L10" i="7" s="1"/>
  <c r="BA8" i="7"/>
  <c r="BD8" i="7" s="1"/>
  <c r="BG8" i="7" s="1"/>
  <c r="BJ8" i="7" s="1"/>
  <c r="BM8" i="7" s="1"/>
  <c r="BP8" i="7" s="1"/>
  <c r="BS8" i="7" s="1"/>
  <c r="BV8" i="7" s="1"/>
  <c r="BY8" i="7" s="1"/>
  <c r="CB8" i="7" s="1"/>
  <c r="K8" i="7"/>
  <c r="L8" i="7" s="1"/>
  <c r="BA7" i="7"/>
  <c r="BD7" i="7" s="1"/>
  <c r="BG7" i="7" s="1"/>
  <c r="BJ7" i="7" s="1"/>
  <c r="BM7" i="7" s="1"/>
  <c r="BP7" i="7" s="1"/>
  <c r="BS7" i="7" s="1"/>
  <c r="BV7" i="7" s="1"/>
  <c r="BY7" i="7" s="1"/>
  <c r="CB7" i="7" s="1"/>
  <c r="K7" i="7"/>
  <c r="L7" i="7" s="1"/>
  <c r="BA6" i="7"/>
  <c r="BD6" i="7" s="1"/>
  <c r="BG6" i="7" s="1"/>
  <c r="BJ6" i="7" s="1"/>
  <c r="BM6" i="7" s="1"/>
  <c r="BP6" i="7" s="1"/>
  <c r="BS6" i="7" s="1"/>
  <c r="BV6" i="7" s="1"/>
  <c r="BY6" i="7" s="1"/>
  <c r="CB6" i="7" s="1"/>
  <c r="K6" i="7"/>
  <c r="L6" i="7" s="1"/>
  <c r="BA5" i="7"/>
  <c r="BD5" i="7" s="1"/>
  <c r="BG5" i="7" s="1"/>
  <c r="BJ5" i="7" s="1"/>
  <c r="BM5" i="7" s="1"/>
  <c r="BP5" i="7" s="1"/>
  <c r="BS5" i="7" s="1"/>
  <c r="BV5" i="7" s="1"/>
  <c r="BY5" i="7" s="1"/>
  <c r="CB5" i="7" s="1"/>
  <c r="K5" i="7"/>
  <c r="L5" i="7" s="1"/>
  <c r="BA64" i="7"/>
  <c r="BD64" i="7" s="1"/>
  <c r="BG64" i="7" s="1"/>
  <c r="BJ64" i="7" s="1"/>
  <c r="BM64" i="7" s="1"/>
  <c r="BP64" i="7" s="1"/>
  <c r="BS64" i="7" s="1"/>
  <c r="BV64" i="7" s="1"/>
  <c r="BY64" i="7" s="1"/>
  <c r="CB64" i="7" s="1"/>
  <c r="K64" i="7"/>
  <c r="L64" i="7" s="1"/>
  <c r="R15" i="7" l="1"/>
  <c r="R16" i="7"/>
  <c r="O18" i="7"/>
  <c r="R18" i="7" s="1"/>
  <c r="O17" i="7"/>
  <c r="O19" i="7"/>
  <c r="O20" i="7"/>
  <c r="O9" i="7"/>
  <c r="L12" i="7"/>
  <c r="N5" i="7"/>
  <c r="Q5" i="7" s="1"/>
  <c r="T5" i="7" s="1"/>
  <c r="W5" i="7" s="1"/>
  <c r="Z5" i="7" s="1"/>
  <c r="AC5" i="7" s="1"/>
  <c r="AF5" i="7" s="1"/>
  <c r="AI5" i="7" s="1"/>
  <c r="AL5" i="7" s="1"/>
  <c r="AO5" i="7" s="1"/>
  <c r="AR5" i="7" s="1"/>
  <c r="AU5" i="7" s="1"/>
  <c r="AX5" i="7" s="1"/>
  <c r="N6" i="7"/>
  <c r="Q6" i="7" s="1"/>
  <c r="T6" i="7" s="1"/>
  <c r="W6" i="7" s="1"/>
  <c r="Z6" i="7" s="1"/>
  <c r="AC6" i="7" s="1"/>
  <c r="AF6" i="7" s="1"/>
  <c r="AI6" i="7" s="1"/>
  <c r="AL6" i="7" s="1"/>
  <c r="AO6" i="7" s="1"/>
  <c r="AR6" i="7" s="1"/>
  <c r="AU6" i="7" s="1"/>
  <c r="AX6" i="7" s="1"/>
  <c r="N7" i="7"/>
  <c r="Q7" i="7" s="1"/>
  <c r="T7" i="7" s="1"/>
  <c r="W7" i="7" s="1"/>
  <c r="Z7" i="7" s="1"/>
  <c r="AC7" i="7" s="1"/>
  <c r="AF7" i="7" s="1"/>
  <c r="AI7" i="7" s="1"/>
  <c r="AL7" i="7" s="1"/>
  <c r="AO7" i="7" s="1"/>
  <c r="AR7" i="7" s="1"/>
  <c r="AU7" i="7" s="1"/>
  <c r="AX7" i="7" s="1"/>
  <c r="N8" i="7"/>
  <c r="Q8" i="7" s="1"/>
  <c r="T8" i="7" s="1"/>
  <c r="W8" i="7" s="1"/>
  <c r="Z8" i="7" s="1"/>
  <c r="AC8" i="7" s="1"/>
  <c r="AF8" i="7" s="1"/>
  <c r="AI8" i="7" s="1"/>
  <c r="AL8" i="7" s="1"/>
  <c r="AO8" i="7" s="1"/>
  <c r="AR8" i="7" s="1"/>
  <c r="AU8" i="7" s="1"/>
  <c r="AX8" i="7" s="1"/>
  <c r="N10" i="7"/>
  <c r="Q10" i="7" s="1"/>
  <c r="T10" i="7" s="1"/>
  <c r="W10" i="7" s="1"/>
  <c r="Z10" i="7" s="1"/>
  <c r="AC10" i="7" s="1"/>
  <c r="AF10" i="7" s="1"/>
  <c r="AI10" i="7" s="1"/>
  <c r="AL10" i="7" s="1"/>
  <c r="AO10" i="7" s="1"/>
  <c r="AR10" i="7" s="1"/>
  <c r="AU10" i="7" s="1"/>
  <c r="AX10" i="7" s="1"/>
  <c r="N11" i="7"/>
  <c r="Q11" i="7" s="1"/>
  <c r="T11" i="7" s="1"/>
  <c r="W11" i="7" s="1"/>
  <c r="Z11" i="7" s="1"/>
  <c r="AC11" i="7" s="1"/>
  <c r="AF11" i="7" s="1"/>
  <c r="AI11" i="7" s="1"/>
  <c r="AL11" i="7" s="1"/>
  <c r="AO11" i="7" s="1"/>
  <c r="AR11" i="7" s="1"/>
  <c r="AU11" i="7" s="1"/>
  <c r="AX11" i="7" s="1"/>
  <c r="N12" i="7"/>
  <c r="Q12" i="7" s="1"/>
  <c r="T12" i="7" s="1"/>
  <c r="W12" i="7" s="1"/>
  <c r="Z12" i="7" s="1"/>
  <c r="AC12" i="7" s="1"/>
  <c r="AF12" i="7" s="1"/>
  <c r="AI12" i="7" s="1"/>
  <c r="AL12" i="7" s="1"/>
  <c r="AO12" i="7" s="1"/>
  <c r="AR12" i="7" s="1"/>
  <c r="AU12" i="7" s="1"/>
  <c r="AX12" i="7" s="1"/>
  <c r="L28" i="7"/>
  <c r="N28" i="7"/>
  <c r="Q28" i="7" s="1"/>
  <c r="T28" i="7" s="1"/>
  <c r="W28" i="7" s="1"/>
  <c r="Z28" i="7" s="1"/>
  <c r="AC28" i="7" s="1"/>
  <c r="AF28" i="7" s="1"/>
  <c r="AI28" i="7" s="1"/>
  <c r="AL28" i="7" s="1"/>
  <c r="AO28" i="7" s="1"/>
  <c r="AR28" i="7" s="1"/>
  <c r="AU28" i="7" s="1"/>
  <c r="AX28" i="7" s="1"/>
  <c r="N13" i="7"/>
  <c r="N14" i="7"/>
  <c r="Q14" i="7" s="1"/>
  <c r="T14" i="7" s="1"/>
  <c r="W14" i="7" s="1"/>
  <c r="Z14" i="7" s="1"/>
  <c r="AC14" i="7" s="1"/>
  <c r="AF14" i="7" s="1"/>
  <c r="AI14" i="7" s="1"/>
  <c r="AL14" i="7" s="1"/>
  <c r="AO14" i="7" s="1"/>
  <c r="AR14" i="7" s="1"/>
  <c r="AU14" i="7" s="1"/>
  <c r="AX14" i="7" s="1"/>
  <c r="N21" i="7"/>
  <c r="N22" i="7"/>
  <c r="Q22" i="7" s="1"/>
  <c r="T22" i="7" s="1"/>
  <c r="W22" i="7" s="1"/>
  <c r="Z22" i="7" s="1"/>
  <c r="AC22" i="7" s="1"/>
  <c r="AF22" i="7" s="1"/>
  <c r="AI22" i="7" s="1"/>
  <c r="AL22" i="7" s="1"/>
  <c r="AO22" i="7" s="1"/>
  <c r="AR22" i="7" s="1"/>
  <c r="AU22" i="7" s="1"/>
  <c r="AX22" i="7" s="1"/>
  <c r="N23" i="7"/>
  <c r="N24" i="7"/>
  <c r="N25" i="7"/>
  <c r="Q25" i="7" s="1"/>
  <c r="T25" i="7" s="1"/>
  <c r="W25" i="7" s="1"/>
  <c r="Z25" i="7" s="1"/>
  <c r="AC25" i="7" s="1"/>
  <c r="AF25" i="7" s="1"/>
  <c r="AI25" i="7" s="1"/>
  <c r="AL25" i="7" s="1"/>
  <c r="AO25" i="7" s="1"/>
  <c r="AR25" i="7" s="1"/>
  <c r="AU25" i="7" s="1"/>
  <c r="AX25" i="7" s="1"/>
  <c r="N26" i="7"/>
  <c r="Q26" i="7" s="1"/>
  <c r="T26" i="7" s="1"/>
  <c r="W26" i="7" s="1"/>
  <c r="Z26" i="7" s="1"/>
  <c r="AC26" i="7" s="1"/>
  <c r="AF26" i="7" s="1"/>
  <c r="AI26" i="7" s="1"/>
  <c r="AL26" i="7" s="1"/>
  <c r="AO26" i="7" s="1"/>
  <c r="AR26" i="7" s="1"/>
  <c r="AU26" i="7" s="1"/>
  <c r="AX26" i="7" s="1"/>
  <c r="N27" i="7"/>
  <c r="N29" i="7"/>
  <c r="Q29" i="7" s="1"/>
  <c r="T29" i="7" s="1"/>
  <c r="W29" i="7" s="1"/>
  <c r="Z29" i="7" s="1"/>
  <c r="AC29" i="7" s="1"/>
  <c r="AF29" i="7" s="1"/>
  <c r="AI29" i="7" s="1"/>
  <c r="AL29" i="7" s="1"/>
  <c r="AO29" i="7" s="1"/>
  <c r="AR29" i="7" s="1"/>
  <c r="AU29" i="7" s="1"/>
  <c r="AX29" i="7" s="1"/>
  <c r="N30" i="7"/>
  <c r="N31" i="7"/>
  <c r="Q31" i="7" s="1"/>
  <c r="T31" i="7" s="1"/>
  <c r="W31" i="7" s="1"/>
  <c r="Z31" i="7" s="1"/>
  <c r="AC31" i="7" s="1"/>
  <c r="AF31" i="7" s="1"/>
  <c r="AI31" i="7" s="1"/>
  <c r="AL31" i="7" s="1"/>
  <c r="AO31" i="7" s="1"/>
  <c r="AR31" i="7" s="1"/>
  <c r="AU31" i="7" s="1"/>
  <c r="AX31" i="7" s="1"/>
  <c r="N32" i="7"/>
  <c r="N33" i="7"/>
  <c r="Q33" i="7" s="1"/>
  <c r="T33" i="7" s="1"/>
  <c r="W33" i="7" s="1"/>
  <c r="Z33" i="7" s="1"/>
  <c r="AC33" i="7" s="1"/>
  <c r="AF33" i="7" s="1"/>
  <c r="AI33" i="7" s="1"/>
  <c r="AL33" i="7" s="1"/>
  <c r="AO33" i="7" s="1"/>
  <c r="AR33" i="7" s="1"/>
  <c r="AU33" i="7" s="1"/>
  <c r="AX33" i="7" s="1"/>
  <c r="N34" i="7"/>
  <c r="N35" i="7"/>
  <c r="Q35" i="7" s="1"/>
  <c r="T35" i="7" s="1"/>
  <c r="W35" i="7" s="1"/>
  <c r="Z35" i="7" s="1"/>
  <c r="AC35" i="7" s="1"/>
  <c r="AF35" i="7" s="1"/>
  <c r="AI35" i="7" s="1"/>
  <c r="AL35" i="7" s="1"/>
  <c r="AO35" i="7" s="1"/>
  <c r="AR35" i="7" s="1"/>
  <c r="AU35" i="7" s="1"/>
  <c r="AX35" i="7" s="1"/>
  <c r="N36" i="7"/>
  <c r="N37" i="7"/>
  <c r="Q37" i="7" s="1"/>
  <c r="T37" i="7" s="1"/>
  <c r="W37" i="7" s="1"/>
  <c r="Z37" i="7" s="1"/>
  <c r="AC37" i="7" s="1"/>
  <c r="AF37" i="7" s="1"/>
  <c r="AI37" i="7" s="1"/>
  <c r="AL37" i="7" s="1"/>
  <c r="AO37" i="7" s="1"/>
  <c r="AR37" i="7" s="1"/>
  <c r="AU37" i="7" s="1"/>
  <c r="AX37" i="7" s="1"/>
  <c r="N38" i="7"/>
  <c r="N39" i="7"/>
  <c r="Q39" i="7" s="1"/>
  <c r="T39" i="7" s="1"/>
  <c r="W39" i="7" s="1"/>
  <c r="Z39" i="7" s="1"/>
  <c r="AC39" i="7" s="1"/>
  <c r="AF39" i="7" s="1"/>
  <c r="AI39" i="7" s="1"/>
  <c r="AL39" i="7" s="1"/>
  <c r="AO39" i="7" s="1"/>
  <c r="AR39" i="7" s="1"/>
  <c r="AU39" i="7" s="1"/>
  <c r="AX39" i="7" s="1"/>
  <c r="N40" i="7"/>
  <c r="N41" i="7"/>
  <c r="Q41" i="7" s="1"/>
  <c r="T41" i="7" s="1"/>
  <c r="W41" i="7" s="1"/>
  <c r="Z41" i="7" s="1"/>
  <c r="AC41" i="7" s="1"/>
  <c r="AF41" i="7" s="1"/>
  <c r="AI41" i="7" s="1"/>
  <c r="AL41" i="7" s="1"/>
  <c r="AO41" i="7" s="1"/>
  <c r="AR41" i="7" s="1"/>
  <c r="AU41" i="7" s="1"/>
  <c r="AX41" i="7" s="1"/>
  <c r="N42" i="7"/>
  <c r="N43" i="7"/>
  <c r="Q43" i="7" s="1"/>
  <c r="T43" i="7" s="1"/>
  <c r="W43" i="7" s="1"/>
  <c r="Z43" i="7" s="1"/>
  <c r="AC43" i="7" s="1"/>
  <c r="AF43" i="7" s="1"/>
  <c r="AI43" i="7" s="1"/>
  <c r="AL43" i="7" s="1"/>
  <c r="AO43" i="7" s="1"/>
  <c r="AR43" i="7" s="1"/>
  <c r="AU43" i="7" s="1"/>
  <c r="AX43" i="7" s="1"/>
  <c r="N44" i="7"/>
  <c r="N45" i="7"/>
  <c r="Q45" i="7" s="1"/>
  <c r="T45" i="7" s="1"/>
  <c r="W45" i="7" s="1"/>
  <c r="Z45" i="7" s="1"/>
  <c r="AC45" i="7" s="1"/>
  <c r="AF45" i="7" s="1"/>
  <c r="AI45" i="7" s="1"/>
  <c r="AL45" i="7" s="1"/>
  <c r="AO45" i="7" s="1"/>
  <c r="AR45" i="7" s="1"/>
  <c r="AU45" i="7" s="1"/>
  <c r="AX45" i="7" s="1"/>
  <c r="N46" i="7"/>
  <c r="Q46" i="7" s="1"/>
  <c r="T46" i="7" s="1"/>
  <c r="W46" i="7" s="1"/>
  <c r="Z46" i="7" s="1"/>
  <c r="AC46" i="7" s="1"/>
  <c r="AF46" i="7" s="1"/>
  <c r="AI46" i="7" s="1"/>
  <c r="AL46" i="7" s="1"/>
  <c r="AO46" i="7" s="1"/>
  <c r="AR46" i="7" s="1"/>
  <c r="AU46" i="7" s="1"/>
  <c r="AX46" i="7" s="1"/>
  <c r="N47" i="7"/>
  <c r="Q47" i="7" s="1"/>
  <c r="T47" i="7" s="1"/>
  <c r="W47" i="7" s="1"/>
  <c r="Z47" i="7" s="1"/>
  <c r="AC47" i="7" s="1"/>
  <c r="AF47" i="7" s="1"/>
  <c r="AI47" i="7" s="1"/>
  <c r="AL47" i="7" s="1"/>
  <c r="AO47" i="7" s="1"/>
  <c r="AR47" i="7" s="1"/>
  <c r="AU47" i="7" s="1"/>
  <c r="AX47" i="7" s="1"/>
  <c r="O46" i="7"/>
  <c r="N48" i="7"/>
  <c r="N49" i="7"/>
  <c r="Q49" i="7" s="1"/>
  <c r="T49" i="7" s="1"/>
  <c r="W49" i="7" s="1"/>
  <c r="Z49" i="7" s="1"/>
  <c r="AC49" i="7" s="1"/>
  <c r="AF49" i="7" s="1"/>
  <c r="AI49" i="7" s="1"/>
  <c r="AL49" i="7" s="1"/>
  <c r="AO49" i="7" s="1"/>
  <c r="AR49" i="7" s="1"/>
  <c r="AU49" i="7" s="1"/>
  <c r="AX49" i="7" s="1"/>
  <c r="N50" i="7"/>
  <c r="N51" i="7"/>
  <c r="Q51" i="7" s="1"/>
  <c r="T51" i="7" s="1"/>
  <c r="W51" i="7" s="1"/>
  <c r="Z51" i="7" s="1"/>
  <c r="AC51" i="7" s="1"/>
  <c r="AF51" i="7" s="1"/>
  <c r="AI51" i="7" s="1"/>
  <c r="AL51" i="7" s="1"/>
  <c r="AO51" i="7" s="1"/>
  <c r="AR51" i="7" s="1"/>
  <c r="AU51" i="7" s="1"/>
  <c r="AX51" i="7" s="1"/>
  <c r="N52" i="7"/>
  <c r="N53" i="7"/>
  <c r="Q53" i="7" s="1"/>
  <c r="T53" i="7" s="1"/>
  <c r="W53" i="7" s="1"/>
  <c r="Z53" i="7" s="1"/>
  <c r="AC53" i="7" s="1"/>
  <c r="AF53" i="7" s="1"/>
  <c r="AI53" i="7" s="1"/>
  <c r="AL53" i="7" s="1"/>
  <c r="AO53" i="7" s="1"/>
  <c r="AR53" i="7" s="1"/>
  <c r="AU53" i="7" s="1"/>
  <c r="AX53" i="7" s="1"/>
  <c r="N54" i="7"/>
  <c r="Q54" i="7" s="1"/>
  <c r="T54" i="7" s="1"/>
  <c r="W54" i="7" s="1"/>
  <c r="Z54" i="7" s="1"/>
  <c r="AC54" i="7" s="1"/>
  <c r="AF54" i="7" s="1"/>
  <c r="AI54" i="7" s="1"/>
  <c r="AL54" i="7" s="1"/>
  <c r="AO54" i="7" s="1"/>
  <c r="AR54" i="7" s="1"/>
  <c r="AU54" i="7" s="1"/>
  <c r="AX54" i="7" s="1"/>
  <c r="N55" i="7"/>
  <c r="Q55" i="7" s="1"/>
  <c r="T55" i="7" s="1"/>
  <c r="W55" i="7" s="1"/>
  <c r="Z55" i="7" s="1"/>
  <c r="AC55" i="7" s="1"/>
  <c r="AF55" i="7" s="1"/>
  <c r="AI55" i="7" s="1"/>
  <c r="AL55" i="7" s="1"/>
  <c r="AO55" i="7" s="1"/>
  <c r="AR55" i="7" s="1"/>
  <c r="AU55" i="7" s="1"/>
  <c r="AX55" i="7" s="1"/>
  <c r="N56" i="7"/>
  <c r="Q56" i="7" s="1"/>
  <c r="T56" i="7" s="1"/>
  <c r="W56" i="7" s="1"/>
  <c r="Z56" i="7" s="1"/>
  <c r="AC56" i="7" s="1"/>
  <c r="AF56" i="7" s="1"/>
  <c r="AI56" i="7" s="1"/>
  <c r="AL56" i="7" s="1"/>
  <c r="AO56" i="7" s="1"/>
  <c r="AR56" i="7" s="1"/>
  <c r="AU56" i="7" s="1"/>
  <c r="AX56" i="7" s="1"/>
  <c r="N57" i="7"/>
  <c r="Q57" i="7" s="1"/>
  <c r="T57" i="7" s="1"/>
  <c r="W57" i="7" s="1"/>
  <c r="Z57" i="7" s="1"/>
  <c r="AC57" i="7" s="1"/>
  <c r="AF57" i="7" s="1"/>
  <c r="AI57" i="7" s="1"/>
  <c r="AL57" i="7" s="1"/>
  <c r="AO57" i="7" s="1"/>
  <c r="AR57" i="7" s="1"/>
  <c r="AU57" i="7" s="1"/>
  <c r="AX57" i="7" s="1"/>
  <c r="N58" i="7"/>
  <c r="Q58" i="7" s="1"/>
  <c r="T58" i="7" s="1"/>
  <c r="W58" i="7" s="1"/>
  <c r="Z58" i="7" s="1"/>
  <c r="AC58" i="7" s="1"/>
  <c r="AF58" i="7" s="1"/>
  <c r="AI58" i="7" s="1"/>
  <c r="AL58" i="7" s="1"/>
  <c r="AO58" i="7" s="1"/>
  <c r="AR58" i="7" s="1"/>
  <c r="AU58" i="7" s="1"/>
  <c r="AX58" i="7" s="1"/>
  <c r="N59" i="7"/>
  <c r="Q59" i="7" s="1"/>
  <c r="T59" i="7" s="1"/>
  <c r="W59" i="7" s="1"/>
  <c r="Z59" i="7" s="1"/>
  <c r="AC59" i="7" s="1"/>
  <c r="AF59" i="7" s="1"/>
  <c r="AI59" i="7" s="1"/>
  <c r="AL59" i="7" s="1"/>
  <c r="AO59" i="7" s="1"/>
  <c r="AR59" i="7" s="1"/>
  <c r="AU59" i="7" s="1"/>
  <c r="AX59" i="7" s="1"/>
  <c r="N60" i="7"/>
  <c r="Q60" i="7" s="1"/>
  <c r="T60" i="7" s="1"/>
  <c r="W60" i="7" s="1"/>
  <c r="Z60" i="7" s="1"/>
  <c r="AC60" i="7" s="1"/>
  <c r="AF60" i="7" s="1"/>
  <c r="AI60" i="7" s="1"/>
  <c r="AL60" i="7" s="1"/>
  <c r="AO60" i="7" s="1"/>
  <c r="AR60" i="7" s="1"/>
  <c r="AU60" i="7" s="1"/>
  <c r="AX60" i="7" s="1"/>
  <c r="N61" i="7"/>
  <c r="Q61" i="7" s="1"/>
  <c r="T61" i="7" s="1"/>
  <c r="W61" i="7" s="1"/>
  <c r="Z61" i="7" s="1"/>
  <c r="AC61" i="7" s="1"/>
  <c r="AF61" i="7" s="1"/>
  <c r="AI61" i="7" s="1"/>
  <c r="AL61" i="7" s="1"/>
  <c r="AO61" i="7" s="1"/>
  <c r="AR61" i="7" s="1"/>
  <c r="AU61" i="7" s="1"/>
  <c r="AX61" i="7" s="1"/>
  <c r="N62" i="7"/>
  <c r="Q62" i="7" s="1"/>
  <c r="T62" i="7" s="1"/>
  <c r="W62" i="7" s="1"/>
  <c r="Z62" i="7" s="1"/>
  <c r="AC62" i="7" s="1"/>
  <c r="AF62" i="7" s="1"/>
  <c r="AI62" i="7" s="1"/>
  <c r="AL62" i="7" s="1"/>
  <c r="AO62" i="7" s="1"/>
  <c r="AR62" i="7" s="1"/>
  <c r="AU62" i="7" s="1"/>
  <c r="AX62" i="7" s="1"/>
  <c r="N63" i="7"/>
  <c r="Q63" i="7" s="1"/>
  <c r="T63" i="7" s="1"/>
  <c r="W63" i="7" s="1"/>
  <c r="Z63" i="7" s="1"/>
  <c r="AC63" i="7" s="1"/>
  <c r="AF63" i="7" s="1"/>
  <c r="AI63" i="7" s="1"/>
  <c r="AL63" i="7" s="1"/>
  <c r="AO63" i="7" s="1"/>
  <c r="AR63" i="7" s="1"/>
  <c r="AU63" i="7" s="1"/>
  <c r="AX63" i="7" s="1"/>
  <c r="N64" i="7"/>
  <c r="R46" i="7" l="1"/>
  <c r="U46" i="7" s="1"/>
  <c r="X46" i="7" s="1"/>
  <c r="R19" i="7"/>
  <c r="U19" i="7" s="1"/>
  <c r="R17" i="7"/>
  <c r="O28" i="7"/>
  <c r="R28" i="7" s="1"/>
  <c r="U15" i="7"/>
  <c r="U16" i="7"/>
  <c r="X16" i="7" s="1"/>
  <c r="U17" i="7"/>
  <c r="U18" i="7"/>
  <c r="R20" i="7"/>
  <c r="U20" i="7" s="1"/>
  <c r="X20" i="7" s="1"/>
  <c r="R9" i="7"/>
  <c r="U9" i="7" s="1"/>
  <c r="X9" i="7" s="1"/>
  <c r="O63" i="7"/>
  <c r="R63" i="7" s="1"/>
  <c r="O47" i="7"/>
  <c r="R47" i="7" s="1"/>
  <c r="U47" i="7" s="1"/>
  <c r="Q50" i="7"/>
  <c r="T50" i="7" s="1"/>
  <c r="W50" i="7" s="1"/>
  <c r="Z50" i="7" s="1"/>
  <c r="AC50" i="7" s="1"/>
  <c r="AF50" i="7" s="1"/>
  <c r="AI50" i="7" s="1"/>
  <c r="AL50" i="7" s="1"/>
  <c r="AO50" i="7" s="1"/>
  <c r="AR50" i="7" s="1"/>
  <c r="AU50" i="7" s="1"/>
  <c r="AX50" i="7" s="1"/>
  <c r="O50" i="7"/>
  <c r="Q48" i="7"/>
  <c r="T48" i="7" s="1"/>
  <c r="W48" i="7" s="1"/>
  <c r="Z48" i="7" s="1"/>
  <c r="AC48" i="7" s="1"/>
  <c r="AF48" i="7" s="1"/>
  <c r="AI48" i="7" s="1"/>
  <c r="AL48" i="7" s="1"/>
  <c r="AO48" i="7" s="1"/>
  <c r="AR48" i="7" s="1"/>
  <c r="AU48" i="7" s="1"/>
  <c r="AX48" i="7" s="1"/>
  <c r="O48" i="7"/>
  <c r="Q44" i="7"/>
  <c r="T44" i="7" s="1"/>
  <c r="W44" i="7" s="1"/>
  <c r="Z44" i="7" s="1"/>
  <c r="AC44" i="7" s="1"/>
  <c r="AF44" i="7" s="1"/>
  <c r="AI44" i="7" s="1"/>
  <c r="AL44" i="7" s="1"/>
  <c r="AO44" i="7" s="1"/>
  <c r="AR44" i="7" s="1"/>
  <c r="AU44" i="7" s="1"/>
  <c r="AX44" i="7" s="1"/>
  <c r="O44" i="7"/>
  <c r="Q42" i="7"/>
  <c r="T42" i="7" s="1"/>
  <c r="W42" i="7" s="1"/>
  <c r="Z42" i="7" s="1"/>
  <c r="AC42" i="7" s="1"/>
  <c r="AF42" i="7" s="1"/>
  <c r="AI42" i="7" s="1"/>
  <c r="AL42" i="7" s="1"/>
  <c r="AO42" i="7" s="1"/>
  <c r="AR42" i="7" s="1"/>
  <c r="AU42" i="7" s="1"/>
  <c r="AX42" i="7" s="1"/>
  <c r="O42" i="7"/>
  <c r="Q40" i="7"/>
  <c r="T40" i="7" s="1"/>
  <c r="W40" i="7" s="1"/>
  <c r="Z40" i="7" s="1"/>
  <c r="AC40" i="7" s="1"/>
  <c r="AF40" i="7" s="1"/>
  <c r="AI40" i="7" s="1"/>
  <c r="AL40" i="7" s="1"/>
  <c r="AO40" i="7" s="1"/>
  <c r="AR40" i="7" s="1"/>
  <c r="AU40" i="7" s="1"/>
  <c r="AX40" i="7" s="1"/>
  <c r="O40" i="7"/>
  <c r="Q38" i="7"/>
  <c r="T38" i="7" s="1"/>
  <c r="W38" i="7" s="1"/>
  <c r="Z38" i="7" s="1"/>
  <c r="AC38" i="7" s="1"/>
  <c r="AF38" i="7" s="1"/>
  <c r="AI38" i="7" s="1"/>
  <c r="AL38" i="7" s="1"/>
  <c r="AO38" i="7" s="1"/>
  <c r="AR38" i="7" s="1"/>
  <c r="AU38" i="7" s="1"/>
  <c r="AX38" i="7" s="1"/>
  <c r="O38" i="7"/>
  <c r="Q36" i="7"/>
  <c r="T36" i="7" s="1"/>
  <c r="W36" i="7" s="1"/>
  <c r="Z36" i="7" s="1"/>
  <c r="AC36" i="7" s="1"/>
  <c r="AF36" i="7" s="1"/>
  <c r="AI36" i="7" s="1"/>
  <c r="AL36" i="7" s="1"/>
  <c r="AO36" i="7" s="1"/>
  <c r="AR36" i="7" s="1"/>
  <c r="AU36" i="7" s="1"/>
  <c r="AX36" i="7" s="1"/>
  <c r="O36" i="7"/>
  <c r="Q34" i="7"/>
  <c r="T34" i="7" s="1"/>
  <c r="W34" i="7" s="1"/>
  <c r="Z34" i="7" s="1"/>
  <c r="AC34" i="7" s="1"/>
  <c r="AF34" i="7" s="1"/>
  <c r="AI34" i="7" s="1"/>
  <c r="AL34" i="7" s="1"/>
  <c r="AO34" i="7" s="1"/>
  <c r="AR34" i="7" s="1"/>
  <c r="AU34" i="7" s="1"/>
  <c r="AX34" i="7" s="1"/>
  <c r="O34" i="7"/>
  <c r="Q32" i="7"/>
  <c r="T32" i="7" s="1"/>
  <c r="W32" i="7" s="1"/>
  <c r="Z32" i="7" s="1"/>
  <c r="AC32" i="7" s="1"/>
  <c r="AF32" i="7" s="1"/>
  <c r="AI32" i="7" s="1"/>
  <c r="AL32" i="7" s="1"/>
  <c r="AO32" i="7" s="1"/>
  <c r="AR32" i="7" s="1"/>
  <c r="AU32" i="7" s="1"/>
  <c r="AX32" i="7" s="1"/>
  <c r="O32" i="7"/>
  <c r="Q30" i="7"/>
  <c r="T30" i="7" s="1"/>
  <c r="W30" i="7" s="1"/>
  <c r="Z30" i="7" s="1"/>
  <c r="AC30" i="7" s="1"/>
  <c r="AF30" i="7" s="1"/>
  <c r="AI30" i="7" s="1"/>
  <c r="AL30" i="7" s="1"/>
  <c r="AO30" i="7" s="1"/>
  <c r="AR30" i="7" s="1"/>
  <c r="AU30" i="7" s="1"/>
  <c r="AX30" i="7" s="1"/>
  <c r="O30" i="7"/>
  <c r="Q27" i="7"/>
  <c r="T27" i="7" s="1"/>
  <c r="W27" i="7" s="1"/>
  <c r="Z27" i="7" s="1"/>
  <c r="AC27" i="7" s="1"/>
  <c r="AF27" i="7" s="1"/>
  <c r="AI27" i="7" s="1"/>
  <c r="AL27" i="7" s="1"/>
  <c r="AO27" i="7" s="1"/>
  <c r="AR27" i="7" s="1"/>
  <c r="AU27" i="7" s="1"/>
  <c r="AX27" i="7" s="1"/>
  <c r="O27" i="7"/>
  <c r="Q24" i="7"/>
  <c r="T24" i="7" s="1"/>
  <c r="W24" i="7" s="1"/>
  <c r="Z24" i="7" s="1"/>
  <c r="AC24" i="7" s="1"/>
  <c r="AF24" i="7" s="1"/>
  <c r="AI24" i="7" s="1"/>
  <c r="AL24" i="7" s="1"/>
  <c r="AO24" i="7" s="1"/>
  <c r="AR24" i="7" s="1"/>
  <c r="AU24" i="7" s="1"/>
  <c r="AX24" i="7" s="1"/>
  <c r="O24" i="7"/>
  <c r="Q23" i="7"/>
  <c r="T23" i="7" s="1"/>
  <c r="W23" i="7" s="1"/>
  <c r="Z23" i="7" s="1"/>
  <c r="AC23" i="7" s="1"/>
  <c r="AF23" i="7" s="1"/>
  <c r="AI23" i="7" s="1"/>
  <c r="AL23" i="7" s="1"/>
  <c r="AO23" i="7" s="1"/>
  <c r="AR23" i="7" s="1"/>
  <c r="AU23" i="7" s="1"/>
  <c r="AX23" i="7" s="1"/>
  <c r="O23" i="7"/>
  <c r="Q21" i="7"/>
  <c r="T21" i="7" s="1"/>
  <c r="W21" i="7" s="1"/>
  <c r="Z21" i="7" s="1"/>
  <c r="AC21" i="7" s="1"/>
  <c r="AF21" i="7" s="1"/>
  <c r="AI21" i="7" s="1"/>
  <c r="AL21" i="7" s="1"/>
  <c r="AO21" i="7" s="1"/>
  <c r="AR21" i="7" s="1"/>
  <c r="AU21" i="7" s="1"/>
  <c r="AX21" i="7" s="1"/>
  <c r="O21" i="7"/>
  <c r="Q13" i="7"/>
  <c r="T13" i="7" s="1"/>
  <c r="W13" i="7" s="1"/>
  <c r="Z13" i="7" s="1"/>
  <c r="AC13" i="7" s="1"/>
  <c r="AF13" i="7" s="1"/>
  <c r="AI13" i="7" s="1"/>
  <c r="AL13" i="7" s="1"/>
  <c r="AO13" i="7" s="1"/>
  <c r="AR13" i="7" s="1"/>
  <c r="AU13" i="7" s="1"/>
  <c r="AX13" i="7" s="1"/>
  <c r="O13" i="7"/>
  <c r="O62" i="7"/>
  <c r="O60" i="7"/>
  <c r="O58" i="7"/>
  <c r="R58" i="7" s="1"/>
  <c r="U58" i="7" s="1"/>
  <c r="O56" i="7"/>
  <c r="R56" i="7" s="1"/>
  <c r="O54" i="7"/>
  <c r="R54" i="7" s="1"/>
  <c r="U54" i="7" s="1"/>
  <c r="O61" i="7"/>
  <c r="O59" i="7"/>
  <c r="R59" i="7" s="1"/>
  <c r="U59" i="7" s="1"/>
  <c r="O57" i="7"/>
  <c r="R57" i="7" s="1"/>
  <c r="O55" i="7"/>
  <c r="R55" i="7" s="1"/>
  <c r="U55" i="7" s="1"/>
  <c r="O53" i="7"/>
  <c r="R53" i="7" s="1"/>
  <c r="O51" i="7"/>
  <c r="R51" i="7" s="1"/>
  <c r="O49" i="7"/>
  <c r="R49" i="7" s="1"/>
  <c r="U49" i="7" s="1"/>
  <c r="O45" i="7"/>
  <c r="O43" i="7"/>
  <c r="O41" i="7"/>
  <c r="O39" i="7"/>
  <c r="O37" i="7"/>
  <c r="O35" i="7"/>
  <c r="O33" i="7"/>
  <c r="O31" i="7"/>
  <c r="R31" i="7" s="1"/>
  <c r="U31" i="7" s="1"/>
  <c r="O29" i="7"/>
  <c r="O7" i="7"/>
  <c r="R7" i="7" s="1"/>
  <c r="U7" i="7" s="1"/>
  <c r="O5" i="7"/>
  <c r="O26" i="7"/>
  <c r="R26" i="7" s="1"/>
  <c r="U26" i="7" s="1"/>
  <c r="O14" i="7"/>
  <c r="R14" i="7" s="1"/>
  <c r="O12" i="7"/>
  <c r="R12" i="7" s="1"/>
  <c r="O10" i="7"/>
  <c r="R10" i="7" s="1"/>
  <c r="O8" i="7"/>
  <c r="R8" i="7" s="1"/>
  <c r="Q52" i="7"/>
  <c r="T52" i="7" s="1"/>
  <c r="W52" i="7" s="1"/>
  <c r="Z52" i="7" s="1"/>
  <c r="AC52" i="7" s="1"/>
  <c r="AF52" i="7" s="1"/>
  <c r="AI52" i="7" s="1"/>
  <c r="AL52" i="7" s="1"/>
  <c r="AO52" i="7" s="1"/>
  <c r="AR52" i="7" s="1"/>
  <c r="AU52" i="7" s="1"/>
  <c r="AX52" i="7" s="1"/>
  <c r="O52" i="7"/>
  <c r="O6" i="7"/>
  <c r="O25" i="7"/>
  <c r="O22" i="7"/>
  <c r="O11" i="7"/>
  <c r="Q64" i="7"/>
  <c r="T64" i="7" s="1"/>
  <c r="W64" i="7" s="1"/>
  <c r="Z64" i="7" s="1"/>
  <c r="AC64" i="7" s="1"/>
  <c r="AF64" i="7" s="1"/>
  <c r="AI64" i="7" s="1"/>
  <c r="AL64" i="7" s="1"/>
  <c r="AO64" i="7" s="1"/>
  <c r="AR64" i="7" s="1"/>
  <c r="AU64" i="7" s="1"/>
  <c r="AX64" i="7" s="1"/>
  <c r="O64" i="7"/>
  <c r="R34" i="7" l="1"/>
  <c r="U34" i="7" s="1"/>
  <c r="X34" i="7" s="1"/>
  <c r="AA34" i="7" s="1"/>
  <c r="R36" i="7"/>
  <c r="U36" i="7" s="1"/>
  <c r="R42" i="7"/>
  <c r="U42" i="7" s="1"/>
  <c r="R44" i="7"/>
  <c r="U44" i="7" s="1"/>
  <c r="AA46" i="7"/>
  <c r="AD46" i="7" s="1"/>
  <c r="AG46" i="7" s="1"/>
  <c r="R27" i="7"/>
  <c r="R50" i="7"/>
  <c r="X47" i="7"/>
  <c r="AA47" i="7" s="1"/>
  <c r="R23" i="7"/>
  <c r="U23" i="7" s="1"/>
  <c r="X15" i="7"/>
  <c r="AA16" i="7"/>
  <c r="AD16" i="7" s="1"/>
  <c r="U56" i="7"/>
  <c r="X56" i="7" s="1"/>
  <c r="AA56" i="7" s="1"/>
  <c r="R21" i="7"/>
  <c r="U21" i="7" s="1"/>
  <c r="R24" i="7"/>
  <c r="U24" i="7" s="1"/>
  <c r="R32" i="7"/>
  <c r="U32" i="7" s="1"/>
  <c r="R40" i="7"/>
  <c r="U40" i="7" s="1"/>
  <c r="R13" i="7"/>
  <c r="U13" i="7" s="1"/>
  <c r="X17" i="7"/>
  <c r="X18" i="7"/>
  <c r="AA18" i="7" s="1"/>
  <c r="X19" i="7"/>
  <c r="AA20" i="7"/>
  <c r="AD20" i="7" s="1"/>
  <c r="AA9" i="7"/>
  <c r="AD9" i="7" s="1"/>
  <c r="U63" i="7"/>
  <c r="X63" i="7" s="1"/>
  <c r="AA63" i="7" s="1"/>
  <c r="R62" i="7"/>
  <c r="U62" i="7" s="1"/>
  <c r="R5" i="7"/>
  <c r="U5" i="7" s="1"/>
  <c r="R30" i="7"/>
  <c r="U30" i="7" s="1"/>
  <c r="R38" i="7"/>
  <c r="R48" i="7"/>
  <c r="U48" i="7" s="1"/>
  <c r="R60" i="7"/>
  <c r="U14" i="7"/>
  <c r="U38" i="7"/>
  <c r="AD47" i="7"/>
  <c r="AG47" i="7" s="1"/>
  <c r="X48" i="7"/>
  <c r="U28" i="7"/>
  <c r="X28" i="7" s="1"/>
  <c r="R11" i="7"/>
  <c r="U11" i="7" s="1"/>
  <c r="U12" i="7"/>
  <c r="U10" i="7"/>
  <c r="X10" i="7" s="1"/>
  <c r="R25" i="7"/>
  <c r="U25" i="7" s="1"/>
  <c r="X26" i="7"/>
  <c r="AA26" i="7" s="1"/>
  <c r="R29" i="7"/>
  <c r="R37" i="7"/>
  <c r="R39" i="7"/>
  <c r="R45" i="7"/>
  <c r="R52" i="7"/>
  <c r="X49" i="7"/>
  <c r="AA49" i="7" s="1"/>
  <c r="U50" i="7"/>
  <c r="R61" i="7"/>
  <c r="U8" i="7"/>
  <c r="X8" i="7" s="1"/>
  <c r="AA8" i="7" s="1"/>
  <c r="R35" i="7"/>
  <c r="R41" i="7"/>
  <c r="U51" i="7"/>
  <c r="X51" i="7" s="1"/>
  <c r="U53" i="7"/>
  <c r="X54" i="7"/>
  <c r="U57" i="7"/>
  <c r="X58" i="7"/>
  <c r="X7" i="7"/>
  <c r="AA7" i="7" s="1"/>
  <c r="R6" i="7"/>
  <c r="R22" i="7"/>
  <c r="X31" i="7"/>
  <c r="R33" i="7"/>
  <c r="R43" i="7"/>
  <c r="X55" i="7"/>
  <c r="X59" i="7"/>
  <c r="U27" i="7"/>
  <c r="R64" i="7"/>
  <c r="U64" i="7" s="1"/>
  <c r="X64" i="7" s="1"/>
  <c r="AA64" i="7" s="1"/>
  <c r="X21" i="7" l="1"/>
  <c r="AA21" i="7" s="1"/>
  <c r="AD21" i="7" s="1"/>
  <c r="AG21" i="7" s="1"/>
  <c r="AG16" i="7"/>
  <c r="AA15" i="7"/>
  <c r="AA10" i="7"/>
  <c r="AD10" i="7" s="1"/>
  <c r="AG10" i="7" s="1"/>
  <c r="AA17" i="7"/>
  <c r="AD17" i="7" s="1"/>
  <c r="AG17" i="7" s="1"/>
  <c r="AD18" i="7"/>
  <c r="AA19" i="7"/>
  <c r="AD19" i="7" s="1"/>
  <c r="AG20" i="7"/>
  <c r="AG9" i="7"/>
  <c r="X62" i="7"/>
  <c r="AA62" i="7" s="1"/>
  <c r="X38" i="7"/>
  <c r="AA38" i="7" s="1"/>
  <c r="AD38" i="7" s="1"/>
  <c r="U60" i="7"/>
  <c r="AA48" i="7"/>
  <c r="AD48" i="7" s="1"/>
  <c r="X5" i="7"/>
  <c r="AA5" i="7" s="1"/>
  <c r="X13" i="7"/>
  <c r="AA13" i="7" s="1"/>
  <c r="X11" i="7"/>
  <c r="AA11" i="7" s="1"/>
  <c r="X14" i="7"/>
  <c r="AA14" i="7" s="1"/>
  <c r="AD63" i="7"/>
  <c r="AG63" i="7" s="1"/>
  <c r="X27" i="7"/>
  <c r="AA27" i="7" s="1"/>
  <c r="X24" i="7"/>
  <c r="AA24" i="7" s="1"/>
  <c r="U33" i="7"/>
  <c r="U35" i="7"/>
  <c r="X35" i="7" s="1"/>
  <c r="AD8" i="7"/>
  <c r="X50" i="7"/>
  <c r="X42" i="7"/>
  <c r="AA42" i="7" s="1"/>
  <c r="AD49" i="7"/>
  <c r="AG49" i="7" s="1"/>
  <c r="U45" i="7"/>
  <c r="U39" i="7"/>
  <c r="X39" i="7" s="1"/>
  <c r="X32" i="7"/>
  <c r="U29" i="7"/>
  <c r="AA51" i="7"/>
  <c r="AD51" i="7" s="1"/>
  <c r="AA31" i="7"/>
  <c r="U6" i="7"/>
  <c r="AD31" i="7"/>
  <c r="X25" i="7"/>
  <c r="AA25" i="7" s="1"/>
  <c r="AA58" i="7"/>
  <c r="AD58" i="7" s="1"/>
  <c r="AA54" i="7"/>
  <c r="AD54" i="7" s="1"/>
  <c r="AA59" i="7"/>
  <c r="AA55" i="7"/>
  <c r="X23" i="7"/>
  <c r="AJ47" i="7"/>
  <c r="AM47" i="7" s="1"/>
  <c r="AP47" i="7" s="1"/>
  <c r="U43" i="7"/>
  <c r="X36" i="7"/>
  <c r="AA36" i="7" s="1"/>
  <c r="AD7" i="7"/>
  <c r="AG7" i="7" s="1"/>
  <c r="U41" i="7"/>
  <c r="X41" i="7" s="1"/>
  <c r="X30" i="7"/>
  <c r="AA30" i="7" s="1"/>
  <c r="U61" i="7"/>
  <c r="X44" i="7"/>
  <c r="X40" i="7"/>
  <c r="AA40" i="7" s="1"/>
  <c r="U52" i="7"/>
  <c r="U37" i="7"/>
  <c r="X12" i="7"/>
  <c r="AD34" i="7"/>
  <c r="AD26" i="7"/>
  <c r="X61" i="7"/>
  <c r="X57" i="7"/>
  <c r="X53" i="7"/>
  <c r="AD56" i="7"/>
  <c r="U22" i="7"/>
  <c r="AA28" i="7"/>
  <c r="AJ46" i="7"/>
  <c r="AD64" i="7"/>
  <c r="AG31" i="7" l="1"/>
  <c r="AJ31" i="7" s="1"/>
  <c r="AJ21" i="7"/>
  <c r="AM21" i="7" s="1"/>
  <c r="AJ10" i="7"/>
  <c r="AM10" i="7" s="1"/>
  <c r="AP10" i="7" s="1"/>
  <c r="AJ9" i="7"/>
  <c r="AM9" i="7" s="1"/>
  <c r="AJ7" i="7"/>
  <c r="AM7" i="7" s="1"/>
  <c r="AJ17" i="7"/>
  <c r="AM17" i="7" s="1"/>
  <c r="AJ16" i="7"/>
  <c r="AM16" i="7" s="1"/>
  <c r="AP16" i="7" s="1"/>
  <c r="AS16" i="7" s="1"/>
  <c r="AV16" i="7" s="1"/>
  <c r="AY16" i="7" s="1"/>
  <c r="AD15" i="7"/>
  <c r="AD5" i="7"/>
  <c r="AG5" i="7" s="1"/>
  <c r="AG18" i="7"/>
  <c r="AG19" i="7"/>
  <c r="AJ20" i="7"/>
  <c r="AM20" i="7" s="1"/>
  <c r="AP20" i="7" s="1"/>
  <c r="AS20" i="7" s="1"/>
  <c r="AV20" i="7" s="1"/>
  <c r="AY20" i="7" s="1"/>
  <c r="G20" i="7" s="1"/>
  <c r="AG48" i="7"/>
  <c r="AJ48" i="7" s="1"/>
  <c r="AM48" i="7" s="1"/>
  <c r="AD14" i="7"/>
  <c r="AG14" i="7" s="1"/>
  <c r="AJ14" i="7" s="1"/>
  <c r="AG38" i="7"/>
  <c r="AJ38" i="7" s="1"/>
  <c r="X60" i="7"/>
  <c r="X33" i="7"/>
  <c r="AA33" i="7" s="1"/>
  <c r="AD62" i="7"/>
  <c r="AG62" i="7" s="1"/>
  <c r="AJ62" i="7" s="1"/>
  <c r="AD13" i="7"/>
  <c r="AG13" i="7" s="1"/>
  <c r="AS47" i="7"/>
  <c r="AV47" i="7" s="1"/>
  <c r="AY47" i="7" s="1"/>
  <c r="G47" i="7" s="1"/>
  <c r="AA12" i="7"/>
  <c r="AG54" i="7"/>
  <c r="AJ54" i="7" s="1"/>
  <c r="AD25" i="7"/>
  <c r="AA39" i="7"/>
  <c r="AD39" i="7" s="1"/>
  <c r="AG39" i="7" s="1"/>
  <c r="AJ49" i="7"/>
  <c r="AD42" i="7"/>
  <c r="AG42" i="7" s="1"/>
  <c r="AJ42" i="7" s="1"/>
  <c r="AA50" i="7"/>
  <c r="AD50" i="7" s="1"/>
  <c r="AD36" i="7"/>
  <c r="X37" i="7"/>
  <c r="AG26" i="7"/>
  <c r="AD28" i="7"/>
  <c r="AG28" i="7" s="1"/>
  <c r="AJ28" i="7" s="1"/>
  <c r="AG34" i="7"/>
  <c r="X43" i="7"/>
  <c r="AA43" i="7" s="1"/>
  <c r="AD43" i="7" s="1"/>
  <c r="X29" i="7"/>
  <c r="X45" i="7"/>
  <c r="AA45" i="7" s="1"/>
  <c r="AD45" i="7" s="1"/>
  <c r="AG8" i="7"/>
  <c r="AG51" i="7"/>
  <c r="X6" i="7"/>
  <c r="AA6" i="7" s="1"/>
  <c r="AD55" i="7"/>
  <c r="AG55" i="7" s="1"/>
  <c r="AG56" i="7"/>
  <c r="AJ56" i="7" s="1"/>
  <c r="AM56" i="7" s="1"/>
  <c r="AP56" i="7" s="1"/>
  <c r="AS56" i="7" s="1"/>
  <c r="AV56" i="7" s="1"/>
  <c r="AY56" i="7" s="1"/>
  <c r="G56" i="7" s="1"/>
  <c r="AD24" i="7"/>
  <c r="AJ63" i="7"/>
  <c r="AD40" i="7"/>
  <c r="AD30" i="7"/>
  <c r="AA41" i="7"/>
  <c r="AD41" i="7" s="1"/>
  <c r="AA23" i="7"/>
  <c r="AD23" i="7" s="1"/>
  <c r="AG58" i="7"/>
  <c r="AJ58" i="7" s="1"/>
  <c r="AA35" i="7"/>
  <c r="AD35" i="7" s="1"/>
  <c r="AM46" i="7"/>
  <c r="AP46" i="7" s="1"/>
  <c r="AD27" i="7"/>
  <c r="AG27" i="7" s="1"/>
  <c r="X52" i="7"/>
  <c r="AA61" i="7"/>
  <c r="AD11" i="7"/>
  <c r="AA53" i="7"/>
  <c r="AA57" i="7"/>
  <c r="AA32" i="7"/>
  <c r="X22" i="7"/>
  <c r="AD59" i="7"/>
  <c r="AA44" i="7"/>
  <c r="AG64" i="7"/>
  <c r="CE16" i="7" l="1"/>
  <c r="G16" i="7"/>
  <c r="AP17" i="7"/>
  <c r="AS17" i="7" s="1"/>
  <c r="AV17" i="7" s="1"/>
  <c r="AY17" i="7" s="1"/>
  <c r="G17" i="7" s="1"/>
  <c r="AJ13" i="7"/>
  <c r="AM13" i="7" s="1"/>
  <c r="AJ5" i="7"/>
  <c r="AM5" i="7" s="1"/>
  <c r="AJ19" i="7"/>
  <c r="AM19" i="7" s="1"/>
  <c r="AP19" i="7" s="1"/>
  <c r="AS19" i="7" s="1"/>
  <c r="AV19" i="7" s="1"/>
  <c r="AY19" i="7" s="1"/>
  <c r="G19" i="7" s="1"/>
  <c r="AJ18" i="7"/>
  <c r="AM18" i="7" s="1"/>
  <c r="AP18" i="7" s="1"/>
  <c r="AS18" i="7" s="1"/>
  <c r="AV18" i="7" s="1"/>
  <c r="AY18" i="7" s="1"/>
  <c r="BB16" i="7"/>
  <c r="BE16" i="7" s="1"/>
  <c r="BH16" i="7" s="1"/>
  <c r="BK16" i="7" s="1"/>
  <c r="BN16" i="7" s="1"/>
  <c r="BQ16" i="7" s="1"/>
  <c r="BT16" i="7" s="1"/>
  <c r="BW16" i="7" s="1"/>
  <c r="BZ16" i="7" s="1"/>
  <c r="CC16" i="7" s="1"/>
  <c r="AG15" i="7"/>
  <c r="CE20" i="7"/>
  <c r="BB20" i="7"/>
  <c r="BE20" i="7" s="1"/>
  <c r="BH20" i="7" s="1"/>
  <c r="BK20" i="7" s="1"/>
  <c r="BN20" i="7" s="1"/>
  <c r="BQ20" i="7" s="1"/>
  <c r="BT20" i="7" s="1"/>
  <c r="BW20" i="7" s="1"/>
  <c r="BZ20" i="7" s="1"/>
  <c r="CC20" i="7" s="1"/>
  <c r="AP9" i="7"/>
  <c r="AS9" i="7" s="1"/>
  <c r="AV9" i="7" s="1"/>
  <c r="AY9" i="7" s="1"/>
  <c r="G9" i="7" s="1"/>
  <c r="AG35" i="7"/>
  <c r="AJ35" i="7" s="1"/>
  <c r="AA60" i="7"/>
  <c r="AD60" i="7" s="1"/>
  <c r="AS10" i="7"/>
  <c r="AV10" i="7" s="1"/>
  <c r="AY10" i="7" s="1"/>
  <c r="G10" i="7" s="1"/>
  <c r="AM42" i="7"/>
  <c r="AP42" i="7" s="1"/>
  <c r="AS42" i="7" s="1"/>
  <c r="AV42" i="7" s="1"/>
  <c r="AY42" i="7" s="1"/>
  <c r="G42" i="7" s="1"/>
  <c r="AM58" i="7"/>
  <c r="AP58" i="7" s="1"/>
  <c r="AS58" i="7" s="1"/>
  <c r="AV58" i="7" s="1"/>
  <c r="AY58" i="7" s="1"/>
  <c r="G58" i="7" s="1"/>
  <c r="BB56" i="7"/>
  <c r="BE56" i="7" s="1"/>
  <c r="BH56" i="7" s="1"/>
  <c r="CE56" i="7"/>
  <c r="CE47" i="7"/>
  <c r="BE47" i="7"/>
  <c r="BB47" i="7"/>
  <c r="BW47" i="7"/>
  <c r="BZ47" i="7" s="1"/>
  <c r="CC47" i="7"/>
  <c r="AP48" i="7"/>
  <c r="AS48" i="7" s="1"/>
  <c r="AV48" i="7" s="1"/>
  <c r="AY48" i="7" s="1"/>
  <c r="G48" i="7" s="1"/>
  <c r="AG23" i="7"/>
  <c r="AJ23" i="7" s="1"/>
  <c r="AM38" i="7"/>
  <c r="AP38" i="7" s="1"/>
  <c r="AJ51" i="7"/>
  <c r="AM51" i="7" s="1"/>
  <c r="AP51" i="7" s="1"/>
  <c r="AS51" i="7" s="1"/>
  <c r="AV51" i="7" s="1"/>
  <c r="AY51" i="7" s="1"/>
  <c r="AJ8" i="7"/>
  <c r="AM8" i="7" s="1"/>
  <c r="AP8" i="7" s="1"/>
  <c r="AS8" i="7" s="1"/>
  <c r="AV8" i="7" s="1"/>
  <c r="AY8" i="7" s="1"/>
  <c r="CE8" i="7" s="1"/>
  <c r="AJ34" i="7"/>
  <c r="AM34" i="7" s="1"/>
  <c r="AP34" i="7" s="1"/>
  <c r="AS34" i="7" s="1"/>
  <c r="AV34" i="7" s="1"/>
  <c r="AY34" i="7" s="1"/>
  <c r="G34" i="7" s="1"/>
  <c r="AA22" i="7"/>
  <c r="AD22" i="7" s="1"/>
  <c r="AG22" i="7" s="1"/>
  <c r="AP21" i="7"/>
  <c r="AS21" i="7" s="1"/>
  <c r="AV21" i="7" s="1"/>
  <c r="AY21" i="7" s="1"/>
  <c r="AD32" i="7"/>
  <c r="AG32" i="7" s="1"/>
  <c r="AJ32" i="7" s="1"/>
  <c r="AM32" i="7" s="1"/>
  <c r="AP32" i="7" s="1"/>
  <c r="AS32" i="7" s="1"/>
  <c r="AV32" i="7" s="1"/>
  <c r="AY32" i="7" s="1"/>
  <c r="G32" i="7" s="1"/>
  <c r="AD53" i="7"/>
  <c r="AG53" i="7" s="1"/>
  <c r="AJ53" i="7" s="1"/>
  <c r="AM53" i="7" s="1"/>
  <c r="AP53" i="7" s="1"/>
  <c r="AS53" i="7" s="1"/>
  <c r="AV53" i="7" s="1"/>
  <c r="AY53" i="7" s="1"/>
  <c r="G53" i="7" s="1"/>
  <c r="AJ27" i="7"/>
  <c r="AG59" i="7"/>
  <c r="AJ59" i="7" s="1"/>
  <c r="AM59" i="7" s="1"/>
  <c r="AP59" i="7" s="1"/>
  <c r="AS59" i="7" s="1"/>
  <c r="AV59" i="7" s="1"/>
  <c r="AY59" i="7" s="1"/>
  <c r="G59" i="7" s="1"/>
  <c r="CC56" i="7"/>
  <c r="AG43" i="7"/>
  <c r="AJ43" i="7" s="1"/>
  <c r="AM43" i="7" s="1"/>
  <c r="AP43" i="7" s="1"/>
  <c r="AG41" i="7"/>
  <c r="AD57" i="7"/>
  <c r="AG57" i="7" s="1"/>
  <c r="AJ57" i="7" s="1"/>
  <c r="AM57" i="7" s="1"/>
  <c r="AP57" i="7" s="1"/>
  <c r="AS57" i="7" s="1"/>
  <c r="AV57" i="7" s="1"/>
  <c r="AY57" i="7" s="1"/>
  <c r="AS46" i="7"/>
  <c r="AV46" i="7" s="1"/>
  <c r="AY46" i="7" s="1"/>
  <c r="G46" i="7" s="1"/>
  <c r="AP7" i="7"/>
  <c r="AS7" i="7" s="1"/>
  <c r="AV7" i="7" s="1"/>
  <c r="AY7" i="7" s="1"/>
  <c r="AD33" i="7"/>
  <c r="AM63" i="7"/>
  <c r="AG24" i="7"/>
  <c r="AJ55" i="7"/>
  <c r="AM55" i="7" s="1"/>
  <c r="AP55" i="7" s="1"/>
  <c r="AS55" i="7" s="1"/>
  <c r="AV55" i="7" s="1"/>
  <c r="AY55" i="7" s="1"/>
  <c r="G55" i="7" s="1"/>
  <c r="AD6" i="7"/>
  <c r="AG6" i="7" s="1"/>
  <c r="AM31" i="7"/>
  <c r="AP31" i="7" s="1"/>
  <c r="AG36" i="7"/>
  <c r="AG50" i="7"/>
  <c r="AM49" i="7"/>
  <c r="AG25" i="7"/>
  <c r="AM14" i="7"/>
  <c r="AG11" i="7"/>
  <c r="AJ11" i="7" s="1"/>
  <c r="AM11" i="7" s="1"/>
  <c r="AP11" i="7" s="1"/>
  <c r="AS11" i="7" s="1"/>
  <c r="AV11" i="7" s="1"/>
  <c r="AY11" i="7" s="1"/>
  <c r="G11" i="7" s="1"/>
  <c r="AD44" i="7"/>
  <c r="AG44" i="7" s="1"/>
  <c r="AJ44" i="7" s="1"/>
  <c r="AM44" i="7" s="1"/>
  <c r="AP44" i="7" s="1"/>
  <c r="AS44" i="7" s="1"/>
  <c r="AG40" i="7"/>
  <c r="AJ40" i="7" s="1"/>
  <c r="AM40" i="7" s="1"/>
  <c r="AP40" i="7" s="1"/>
  <c r="BK56" i="7"/>
  <c r="BN56" i="7" s="1"/>
  <c r="BQ56" i="7" s="1"/>
  <c r="BT56" i="7" s="1"/>
  <c r="BW56" i="7" s="1"/>
  <c r="BZ56" i="7" s="1"/>
  <c r="AG45" i="7"/>
  <c r="AM28" i="7"/>
  <c r="AP28" i="7" s="1"/>
  <c r="AS28" i="7" s="1"/>
  <c r="AG30" i="7"/>
  <c r="AJ39" i="7"/>
  <c r="AA29" i="7"/>
  <c r="AM54" i="7"/>
  <c r="AM62" i="7"/>
  <c r="AP62" i="7" s="1"/>
  <c r="AS62" i="7" s="1"/>
  <c r="AV62" i="7" s="1"/>
  <c r="AY62" i="7" s="1"/>
  <c r="BH47" i="7"/>
  <c r="BK47" i="7" s="1"/>
  <c r="BN47" i="7" s="1"/>
  <c r="BQ47" i="7" s="1"/>
  <c r="BT47" i="7" s="1"/>
  <c r="AD61" i="7"/>
  <c r="AA52" i="7"/>
  <c r="AA37" i="7"/>
  <c r="AD37" i="7" s="1"/>
  <c r="AD12" i="7"/>
  <c r="AJ26" i="7"/>
  <c r="AM26" i="7" s="1"/>
  <c r="AP26" i="7" s="1"/>
  <c r="AS26" i="7" s="1"/>
  <c r="AV26" i="7" s="1"/>
  <c r="AY26" i="7" s="1"/>
  <c r="G26" i="7" s="1"/>
  <c r="AJ64" i="7"/>
  <c r="CE18" i="7" l="1"/>
  <c r="G18" i="7"/>
  <c r="CE57" i="7"/>
  <c r="G57" i="7"/>
  <c r="CE62" i="7"/>
  <c r="G62" i="7"/>
  <c r="CE51" i="7"/>
  <c r="G51" i="7"/>
  <c r="CE19" i="7"/>
  <c r="CE17" i="7"/>
  <c r="BB17" i="7"/>
  <c r="BE17" i="7" s="1"/>
  <c r="BH17" i="7" s="1"/>
  <c r="BK17" i="7" s="1"/>
  <c r="BN17" i="7" s="1"/>
  <c r="BQ17" i="7" s="1"/>
  <c r="BT17" i="7" s="1"/>
  <c r="BW17" i="7" s="1"/>
  <c r="BZ17" i="7" s="1"/>
  <c r="CC17" i="7" s="1"/>
  <c r="CE7" i="7"/>
  <c r="G7" i="7"/>
  <c r="BB19" i="7"/>
  <c r="BE19" i="7" s="1"/>
  <c r="BH19" i="7" s="1"/>
  <c r="BK19" i="7" s="1"/>
  <c r="BN19" i="7" s="1"/>
  <c r="BQ19" i="7" s="1"/>
  <c r="BT19" i="7" s="1"/>
  <c r="BW19" i="7" s="1"/>
  <c r="BZ19" i="7" s="1"/>
  <c r="CC19" i="7" s="1"/>
  <c r="CE21" i="7"/>
  <c r="G21" i="7"/>
  <c r="G8" i="7"/>
  <c r="AP13" i="7"/>
  <c r="AS13" i="7" s="1"/>
  <c r="AV13" i="7" s="1"/>
  <c r="AY13" i="7" s="1"/>
  <c r="G13" i="7" s="1"/>
  <c r="AP14" i="7"/>
  <c r="AS14" i="7" s="1"/>
  <c r="AV14" i="7" s="1"/>
  <c r="AY14" i="7" s="1"/>
  <c r="BT14" i="7" s="1"/>
  <c r="BW14" i="7" s="1"/>
  <c r="BZ14" i="7" s="1"/>
  <c r="CC14" i="7" s="1"/>
  <c r="AJ25" i="7"/>
  <c r="AM25" i="7" s="1"/>
  <c r="AP25" i="7" s="1"/>
  <c r="AS25" i="7" s="1"/>
  <c r="AV25" i="7" s="1"/>
  <c r="AY25" i="7" s="1"/>
  <c r="AJ22" i="7"/>
  <c r="AM22" i="7" s="1"/>
  <c r="AP22" i="7" s="1"/>
  <c r="AS22" i="7" s="1"/>
  <c r="AJ6" i="7"/>
  <c r="AM6" i="7" s="1"/>
  <c r="AP6" i="7" s="1"/>
  <c r="AS6" i="7" s="1"/>
  <c r="AV6" i="7" s="1"/>
  <c r="AY6" i="7" s="1"/>
  <c r="CE6" i="7" s="1"/>
  <c r="BB18" i="7"/>
  <c r="BE18" i="7" s="1"/>
  <c r="BH18" i="7" s="1"/>
  <c r="BK18" i="7" s="1"/>
  <c r="BN18" i="7" s="1"/>
  <c r="BQ18" i="7" s="1"/>
  <c r="BT18" i="7" s="1"/>
  <c r="BW18" i="7" s="1"/>
  <c r="BZ18" i="7" s="1"/>
  <c r="CC18" i="7" s="1"/>
  <c r="AJ15" i="7"/>
  <c r="AM15" i="7" s="1"/>
  <c r="AP15" i="7" s="1"/>
  <c r="AS15" i="7" s="1"/>
  <c r="AV15" i="7" s="1"/>
  <c r="AY15" i="7" s="1"/>
  <c r="CE15" i="7" s="1"/>
  <c r="AM35" i="7"/>
  <c r="AP35" i="7" s="1"/>
  <c r="CE9" i="7"/>
  <c r="BB9" i="7"/>
  <c r="BE9" i="7" s="1"/>
  <c r="BH9" i="7" s="1"/>
  <c r="BK9" i="7" s="1"/>
  <c r="BN9" i="7" s="1"/>
  <c r="BQ9" i="7" s="1"/>
  <c r="BT9" i="7" s="1"/>
  <c r="BW9" i="7" s="1"/>
  <c r="BZ9" i="7" s="1"/>
  <c r="CC9" i="7" s="1"/>
  <c r="AG60" i="7"/>
  <c r="AJ60" i="7" s="1"/>
  <c r="AM60" i="7" s="1"/>
  <c r="AP60" i="7" s="1"/>
  <c r="AS60" i="7" s="1"/>
  <c r="AV60" i="7" s="1"/>
  <c r="AY60" i="7" s="1"/>
  <c r="BT21" i="7"/>
  <c r="BW21" i="7" s="1"/>
  <c r="BZ21" i="7" s="1"/>
  <c r="CC21" i="7" s="1"/>
  <c r="AV28" i="7"/>
  <c r="AY28" i="7" s="1"/>
  <c r="BN21" i="7"/>
  <c r="BQ21" i="7" s="1"/>
  <c r="BB21" i="7"/>
  <c r="BE21" i="7" s="1"/>
  <c r="BH21" i="7" s="1"/>
  <c r="BK21" i="7" s="1"/>
  <c r="BB10" i="7"/>
  <c r="BE10" i="7"/>
  <c r="BH10" i="7" s="1"/>
  <c r="CC10" i="7"/>
  <c r="CE10" i="7"/>
  <c r="BK10" i="7"/>
  <c r="BN10" i="7" s="1"/>
  <c r="BQ10" i="7" s="1"/>
  <c r="BT10" i="7" s="1"/>
  <c r="BW10" i="7" s="1"/>
  <c r="BZ10" i="7" s="1"/>
  <c r="AS38" i="7"/>
  <c r="AV38" i="7" s="1"/>
  <c r="AY38" i="7" s="1"/>
  <c r="G38" i="7" s="1"/>
  <c r="AS31" i="7"/>
  <c r="AV31" i="7" s="1"/>
  <c r="AY31" i="7" s="1"/>
  <c r="G31" i="7" s="1"/>
  <c r="CE26" i="7"/>
  <c r="BB26" i="7"/>
  <c r="BE26" i="7" s="1"/>
  <c r="BH26" i="7" s="1"/>
  <c r="BK26" i="7" s="1"/>
  <c r="BN26" i="7" s="1"/>
  <c r="BQ26" i="7" s="1"/>
  <c r="BT26" i="7" s="1"/>
  <c r="BW26" i="7" s="1"/>
  <c r="BZ26" i="7" s="1"/>
  <c r="CC26" i="7" s="1"/>
  <c r="BB11" i="7"/>
  <c r="BE11" i="7" s="1"/>
  <c r="BH11" i="7" s="1"/>
  <c r="BK11" i="7" s="1"/>
  <c r="BN11" i="7" s="1"/>
  <c r="BQ11" i="7" s="1"/>
  <c r="BT11" i="7" s="1"/>
  <c r="BW11" i="7" s="1"/>
  <c r="BZ11" i="7" s="1"/>
  <c r="CC11" i="7" s="1"/>
  <c r="CE11" i="7"/>
  <c r="CE55" i="7"/>
  <c r="BB55" i="7"/>
  <c r="BE55" i="7" s="1"/>
  <c r="BH55" i="7" s="1"/>
  <c r="BK55" i="7" s="1"/>
  <c r="BN55" i="7" s="1"/>
  <c r="BQ55" i="7" s="1"/>
  <c r="BT55" i="7" s="1"/>
  <c r="BW55" i="7" s="1"/>
  <c r="BZ55" i="7" s="1"/>
  <c r="CC55" i="7" s="1"/>
  <c r="CE53" i="7"/>
  <c r="BB53" i="7"/>
  <c r="BE53" i="7" s="1"/>
  <c r="BH53" i="7" s="1"/>
  <c r="BK53" i="7" s="1"/>
  <c r="BN53" i="7" s="1"/>
  <c r="BQ53" i="7" s="1"/>
  <c r="BT53" i="7" s="1"/>
  <c r="BW53" i="7" s="1"/>
  <c r="BZ53" i="7" s="1"/>
  <c r="CC53" i="7" s="1"/>
  <c r="CE59" i="7"/>
  <c r="BB59" i="7"/>
  <c r="BE59" i="7" s="1"/>
  <c r="BH59" i="7" s="1"/>
  <c r="BK59" i="7" s="1"/>
  <c r="BN59" i="7" s="1"/>
  <c r="BQ59" i="7" s="1"/>
  <c r="BT59" i="7" s="1"/>
  <c r="BW59" i="7" s="1"/>
  <c r="BZ59" i="7" s="1"/>
  <c r="CC59" i="7" s="1"/>
  <c r="CE34" i="7"/>
  <c r="BB34" i="7"/>
  <c r="BE34" i="7" s="1"/>
  <c r="BH34" i="7" s="1"/>
  <c r="BK34" i="7" s="1"/>
  <c r="BN34" i="7" s="1"/>
  <c r="BQ34" i="7" s="1"/>
  <c r="BT34" i="7" s="1"/>
  <c r="BW34" i="7" s="1"/>
  <c r="BZ34" i="7" s="1"/>
  <c r="CC34" i="7" s="1"/>
  <c r="CE48" i="7"/>
  <c r="BB48" i="7"/>
  <c r="BE48" i="7" s="1"/>
  <c r="BH48" i="7" s="1"/>
  <c r="BK48" i="7" s="1"/>
  <c r="BN48" i="7" s="1"/>
  <c r="BQ48" i="7" s="1"/>
  <c r="BT48" i="7" s="1"/>
  <c r="BW48" i="7" s="1"/>
  <c r="BZ48" i="7" s="1"/>
  <c r="CC48" i="7" s="1"/>
  <c r="CE58" i="7"/>
  <c r="BB58" i="7"/>
  <c r="BE58" i="7" s="1"/>
  <c r="BH58" i="7" s="1"/>
  <c r="BK58" i="7" s="1"/>
  <c r="BN58" i="7" s="1"/>
  <c r="BQ58" i="7" s="1"/>
  <c r="BT58" i="7" s="1"/>
  <c r="BW58" i="7" s="1"/>
  <c r="BZ58" i="7" s="1"/>
  <c r="CC58" i="7" s="1"/>
  <c r="BB32" i="7"/>
  <c r="BE32" i="7" s="1"/>
  <c r="BH32" i="7" s="1"/>
  <c r="BK32" i="7" s="1"/>
  <c r="BN32" i="7" s="1"/>
  <c r="BQ32" i="7" s="1"/>
  <c r="CE32" i="7"/>
  <c r="BB42" i="7"/>
  <c r="BE42" i="7" s="1"/>
  <c r="BH42" i="7" s="1"/>
  <c r="BK42" i="7" s="1"/>
  <c r="BN42" i="7" s="1"/>
  <c r="BQ42" i="7" s="1"/>
  <c r="BT42" i="7" s="1"/>
  <c r="BW42" i="7" s="1"/>
  <c r="BZ42" i="7" s="1"/>
  <c r="CC42" i="7" s="1"/>
  <c r="CE42" i="7"/>
  <c r="CC8" i="7"/>
  <c r="CE46" i="7"/>
  <c r="BB46" i="7"/>
  <c r="BE46" i="7" s="1"/>
  <c r="BH46" i="7" s="1"/>
  <c r="BK46" i="7" s="1"/>
  <c r="BN46" i="7" s="1"/>
  <c r="BQ46" i="7" s="1"/>
  <c r="BT46" i="7" s="1"/>
  <c r="BW46" i="7" s="1"/>
  <c r="BZ46" i="7" s="1"/>
  <c r="CC46" i="7" s="1"/>
  <c r="AP63" i="7"/>
  <c r="AS63" i="7" s="1"/>
  <c r="AG33" i="7"/>
  <c r="AJ33" i="7" s="1"/>
  <c r="AM33" i="7" s="1"/>
  <c r="AP33" i="7" s="1"/>
  <c r="AM27" i="7"/>
  <c r="AP27" i="7" s="1"/>
  <c r="AS27" i="7" s="1"/>
  <c r="AV27" i="7" s="1"/>
  <c r="AY27" i="7" s="1"/>
  <c r="G27" i="7" s="1"/>
  <c r="BZ51" i="7"/>
  <c r="CC51" i="7" s="1"/>
  <c r="BB51" i="7"/>
  <c r="BE51" i="7" s="1"/>
  <c r="BH51" i="7" s="1"/>
  <c r="BK51" i="7" s="1"/>
  <c r="BN51" i="7" s="1"/>
  <c r="BQ51" i="7" s="1"/>
  <c r="BT51" i="7" s="1"/>
  <c r="BW51" i="7" s="1"/>
  <c r="AV44" i="7"/>
  <c r="AY44" i="7" s="1"/>
  <c r="G44" i="7" s="1"/>
  <c r="AJ41" i="7"/>
  <c r="AM41" i="7" s="1"/>
  <c r="AP41" i="7" s="1"/>
  <c r="AS41" i="7" s="1"/>
  <c r="AV41" i="7" s="1"/>
  <c r="AY41" i="7" s="1"/>
  <c r="BB8" i="7"/>
  <c r="BE8" i="7" s="1"/>
  <c r="BH8" i="7" s="1"/>
  <c r="BK8" i="7" s="1"/>
  <c r="BN8" i="7" s="1"/>
  <c r="BQ8" i="7" s="1"/>
  <c r="BT8" i="7" s="1"/>
  <c r="BW8" i="7" s="1"/>
  <c r="BZ8" i="7" s="1"/>
  <c r="BT32" i="7"/>
  <c r="BW32" i="7" s="1"/>
  <c r="BZ32" i="7" s="1"/>
  <c r="CC32" i="7" s="1"/>
  <c r="AG12" i="7"/>
  <c r="AJ12" i="7" s="1"/>
  <c r="AM12" i="7" s="1"/>
  <c r="AG37" i="7"/>
  <c r="AJ37" i="7" s="1"/>
  <c r="AM37" i="7" s="1"/>
  <c r="AP37" i="7" s="1"/>
  <c r="AG61" i="7"/>
  <c r="AJ30" i="7"/>
  <c r="AM30" i="7" s="1"/>
  <c r="AP30" i="7" s="1"/>
  <c r="AS30" i="7" s="1"/>
  <c r="AV30" i="7" s="1"/>
  <c r="AY30" i="7" s="1"/>
  <c r="G30" i="7" s="1"/>
  <c r="AJ45" i="7"/>
  <c r="AM45" i="7" s="1"/>
  <c r="AP45" i="7" s="1"/>
  <c r="AS45" i="7" s="1"/>
  <c r="AS40" i="7"/>
  <c r="AV40" i="7" s="1"/>
  <c r="AY40" i="7" s="1"/>
  <c r="G40" i="7" s="1"/>
  <c r="AJ36" i="7"/>
  <c r="AM36" i="7" s="1"/>
  <c r="AP36" i="7" s="1"/>
  <c r="AS36" i="7" s="1"/>
  <c r="AV36" i="7" s="1"/>
  <c r="AY36" i="7" s="1"/>
  <c r="G36" i="7" s="1"/>
  <c r="AJ24" i="7"/>
  <c r="AM24" i="7" s="1"/>
  <c r="AP24" i="7" s="1"/>
  <c r="AS24" i="7" s="1"/>
  <c r="AV24" i="7" s="1"/>
  <c r="AY24" i="7" s="1"/>
  <c r="G24" i="7" s="1"/>
  <c r="AD52" i="7"/>
  <c r="AG52" i="7" s="1"/>
  <c r="AJ52" i="7" s="1"/>
  <c r="AM52" i="7" s="1"/>
  <c r="AP52" i="7" s="1"/>
  <c r="AS52" i="7" s="1"/>
  <c r="AV52" i="7" s="1"/>
  <c r="AY52" i="7" s="1"/>
  <c r="G52" i="7" s="1"/>
  <c r="BB62" i="7"/>
  <c r="BE62" i="7" s="1"/>
  <c r="BH62" i="7" s="1"/>
  <c r="AP54" i="7"/>
  <c r="AS54" i="7" s="1"/>
  <c r="AV54" i="7" s="1"/>
  <c r="AY54" i="7" s="1"/>
  <c r="G54" i="7" s="1"/>
  <c r="AD29" i="7"/>
  <c r="AG29" i="7" s="1"/>
  <c r="AJ29" i="7" s="1"/>
  <c r="AM29" i="7" s="1"/>
  <c r="AP29" i="7" s="1"/>
  <c r="AS29" i="7" s="1"/>
  <c r="AV29" i="7" s="1"/>
  <c r="AY29" i="7" s="1"/>
  <c r="G29" i="7" s="1"/>
  <c r="AM39" i="7"/>
  <c r="AP39" i="7" s="1"/>
  <c r="AS39" i="7" s="1"/>
  <c r="AV39" i="7" s="1"/>
  <c r="AY39" i="7" s="1"/>
  <c r="G39" i="7" s="1"/>
  <c r="AP49" i="7"/>
  <c r="AS49" i="7" s="1"/>
  <c r="AV49" i="7" s="1"/>
  <c r="AY49" i="7" s="1"/>
  <c r="AJ50" i="7"/>
  <c r="AS43" i="7"/>
  <c r="AV43" i="7" s="1"/>
  <c r="AY43" i="7" s="1"/>
  <c r="BB57" i="7"/>
  <c r="BE57" i="7" s="1"/>
  <c r="BH57" i="7" s="1"/>
  <c r="BK57" i="7" s="1"/>
  <c r="BN57" i="7" s="1"/>
  <c r="BQ57" i="7" s="1"/>
  <c r="BT57" i="7" s="1"/>
  <c r="BW57" i="7" s="1"/>
  <c r="BZ57" i="7" s="1"/>
  <c r="CC57" i="7" s="1"/>
  <c r="AM23" i="7"/>
  <c r="AP23" i="7" s="1"/>
  <c r="AS23" i="7" s="1"/>
  <c r="AV23" i="7" s="1"/>
  <c r="AY23" i="7" s="1"/>
  <c r="G23" i="7" s="1"/>
  <c r="AP5" i="7"/>
  <c r="AS5" i="7" s="1"/>
  <c r="AV5" i="7" s="1"/>
  <c r="AY5" i="7" s="1"/>
  <c r="BK62" i="7"/>
  <c r="BN62" i="7" s="1"/>
  <c r="BQ62" i="7" s="1"/>
  <c r="BT62" i="7" s="1"/>
  <c r="BW62" i="7" s="1"/>
  <c r="BZ62" i="7" s="1"/>
  <c r="CC62" i="7" s="1"/>
  <c r="BB7" i="7"/>
  <c r="BE7" i="7" s="1"/>
  <c r="BH7" i="7" s="1"/>
  <c r="BK7" i="7" s="1"/>
  <c r="BN7" i="7" s="1"/>
  <c r="BQ7" i="7" s="1"/>
  <c r="BT7" i="7" s="1"/>
  <c r="BW7" i="7" s="1"/>
  <c r="BZ7" i="7" s="1"/>
  <c r="CC7" i="7" s="1"/>
  <c r="AM64" i="7"/>
  <c r="BB38" i="7" l="1"/>
  <c r="BE38" i="7" s="1"/>
  <c r="BH38" i="7" s="1"/>
  <c r="BK38" i="7" s="1"/>
  <c r="BN38" i="7" s="1"/>
  <c r="BQ38" i="7" s="1"/>
  <c r="BT38" i="7" s="1"/>
  <c r="BW38" i="7" s="1"/>
  <c r="BZ38" i="7" s="1"/>
  <c r="CC38" i="7" s="1"/>
  <c r="CE38" i="7"/>
  <c r="CE60" i="7"/>
  <c r="G60" i="7"/>
  <c r="CE49" i="7"/>
  <c r="G49" i="7"/>
  <c r="CE43" i="7"/>
  <c r="G43" i="7"/>
  <c r="CE41" i="7"/>
  <c r="G41" i="7"/>
  <c r="BN28" i="7"/>
  <c r="BQ28" i="7" s="1"/>
  <c r="BT28" i="7" s="1"/>
  <c r="BW28" i="7" s="1"/>
  <c r="BZ28" i="7" s="1"/>
  <c r="CC28" i="7" s="1"/>
  <c r="G28" i="7"/>
  <c r="G6" i="7"/>
  <c r="CE5" i="7"/>
  <c r="G5" i="7"/>
  <c r="G15" i="7"/>
  <c r="G14" i="7"/>
  <c r="BB13" i="7"/>
  <c r="BE13" i="7" s="1"/>
  <c r="BH13" i="7" s="1"/>
  <c r="BK13" i="7" s="1"/>
  <c r="BN13" i="7" s="1"/>
  <c r="BQ13" i="7" s="1"/>
  <c r="BT13" i="7" s="1"/>
  <c r="BW13" i="7" s="1"/>
  <c r="BZ13" i="7" s="1"/>
  <c r="CC13" i="7" s="1"/>
  <c r="G25" i="7"/>
  <c r="AP12" i="7"/>
  <c r="AS12" i="7" s="1"/>
  <c r="AV12" i="7" s="1"/>
  <c r="CE13" i="7"/>
  <c r="CE14" i="7"/>
  <c r="BB14" i="7"/>
  <c r="BE14" i="7" s="1"/>
  <c r="BH14" i="7" s="1"/>
  <c r="BK14" i="7" s="1"/>
  <c r="BN14" i="7" s="1"/>
  <c r="BQ14" i="7" s="1"/>
  <c r="CE25" i="7"/>
  <c r="BN25" i="7"/>
  <c r="BQ25" i="7" s="1"/>
  <c r="BT25" i="7" s="1"/>
  <c r="BW25" i="7" s="1"/>
  <c r="BZ25" i="7" s="1"/>
  <c r="CC25" i="7" s="1"/>
  <c r="BB25" i="7"/>
  <c r="BE25" i="7" s="1"/>
  <c r="BH25" i="7" s="1"/>
  <c r="BK25" i="7" s="1"/>
  <c r="AV22" i="7"/>
  <c r="AY22" i="7" s="1"/>
  <c r="G22" i="7" s="1"/>
  <c r="BB6" i="7"/>
  <c r="BE6" i="7" s="1"/>
  <c r="BH6" i="7" s="1"/>
  <c r="BK6" i="7" s="1"/>
  <c r="BN6" i="7" s="1"/>
  <c r="BQ6" i="7" s="1"/>
  <c r="BT6" i="7" s="1"/>
  <c r="BW6" i="7" s="1"/>
  <c r="BZ6" i="7" s="1"/>
  <c r="CC6" i="7" s="1"/>
  <c r="BB15" i="7"/>
  <c r="BE15" i="7" s="1"/>
  <c r="BH15" i="7" s="1"/>
  <c r="BK15" i="7" s="1"/>
  <c r="BN15" i="7" s="1"/>
  <c r="BQ15" i="7" s="1"/>
  <c r="BT15" i="7" s="1"/>
  <c r="BW15" i="7" s="1"/>
  <c r="BZ15" i="7" s="1"/>
  <c r="CC15" i="7" s="1"/>
  <c r="AS35" i="7"/>
  <c r="AV35" i="7" s="1"/>
  <c r="AY35" i="7" s="1"/>
  <c r="G35" i="7" s="1"/>
  <c r="BH44" i="7"/>
  <c r="BK44" i="7" s="1"/>
  <c r="BN44" i="7" s="1"/>
  <c r="BQ44" i="7" s="1"/>
  <c r="BT44" i="7" s="1"/>
  <c r="BW44" i="7"/>
  <c r="BZ44" i="7" s="1"/>
  <c r="CC44" i="7" s="1"/>
  <c r="CE31" i="7"/>
  <c r="BB60" i="7"/>
  <c r="BE60" i="7" s="1"/>
  <c r="BH60" i="7" s="1"/>
  <c r="BK60" i="7" s="1"/>
  <c r="BN60" i="7" s="1"/>
  <c r="BQ60" i="7" s="1"/>
  <c r="BT60" i="7" s="1"/>
  <c r="BW60" i="7" s="1"/>
  <c r="BZ60" i="7" s="1"/>
  <c r="CC60" i="7" s="1"/>
  <c r="BB49" i="7"/>
  <c r="BE49" i="7" s="1"/>
  <c r="BH49" i="7" s="1"/>
  <c r="BK49" i="7" s="1"/>
  <c r="BN49" i="7" s="1"/>
  <c r="BQ49" i="7" s="1"/>
  <c r="BZ49" i="7"/>
  <c r="CC49" i="7" s="1"/>
  <c r="BT49" i="7"/>
  <c r="BW49" i="7" s="1"/>
  <c r="BB31" i="7"/>
  <c r="BE31" i="7" s="1"/>
  <c r="BH31" i="7" s="1"/>
  <c r="BK31" i="7" s="1"/>
  <c r="BN31" i="7" s="1"/>
  <c r="BQ31" i="7" s="1"/>
  <c r="BT31" i="7" s="1"/>
  <c r="BW31" i="7" s="1"/>
  <c r="BZ31" i="7" s="1"/>
  <c r="CC31" i="7" s="1"/>
  <c r="AV63" i="7"/>
  <c r="BN40" i="7"/>
  <c r="BQ40" i="7" s="1"/>
  <c r="BT40" i="7" s="1"/>
  <c r="BW40" i="7" s="1"/>
  <c r="BZ40" i="7" s="1"/>
  <c r="CC40" i="7" s="1"/>
  <c r="BE40" i="7"/>
  <c r="BH40" i="7" s="1"/>
  <c r="BK40" i="7" s="1"/>
  <c r="AV45" i="7"/>
  <c r="AY45" i="7" s="1"/>
  <c r="G45" i="7" s="1"/>
  <c r="AS37" i="7"/>
  <c r="AV37" i="7" s="1"/>
  <c r="BN43" i="7"/>
  <c r="BQ43" i="7" s="1"/>
  <c r="BT43" i="7" s="1"/>
  <c r="BW43" i="7" s="1"/>
  <c r="BZ43" i="7" s="1"/>
  <c r="CC43" i="7" s="1"/>
  <c r="BQ27" i="7"/>
  <c r="BT27" i="7" s="1"/>
  <c r="BW27" i="7" s="1"/>
  <c r="BZ27" i="7" s="1"/>
  <c r="CC27" i="7" s="1"/>
  <c r="AS33" i="7"/>
  <c r="AV33" i="7" s="1"/>
  <c r="AY33" i="7" s="1"/>
  <c r="G33" i="7" s="1"/>
  <c r="CE23" i="7"/>
  <c r="BB23" i="7"/>
  <c r="BE23" i="7" s="1"/>
  <c r="BH23" i="7" s="1"/>
  <c r="BK23" i="7" s="1"/>
  <c r="BN23" i="7" s="1"/>
  <c r="BQ23" i="7" s="1"/>
  <c r="BT23" i="7" s="1"/>
  <c r="BW23" i="7" s="1"/>
  <c r="BZ23" i="7" s="1"/>
  <c r="CC23" i="7" s="1"/>
  <c r="CE52" i="7"/>
  <c r="BB52" i="7"/>
  <c r="BE52" i="7" s="1"/>
  <c r="BH52" i="7" s="1"/>
  <c r="BK52" i="7" s="1"/>
  <c r="BN52" i="7" s="1"/>
  <c r="BQ52" i="7" s="1"/>
  <c r="BT52" i="7" s="1"/>
  <c r="BW52" i="7" s="1"/>
  <c r="BZ52" i="7" s="1"/>
  <c r="CC52" i="7" s="1"/>
  <c r="CE24" i="7"/>
  <c r="BB24" i="7"/>
  <c r="BE24" i="7" s="1"/>
  <c r="BH24" i="7" s="1"/>
  <c r="BK24" i="7" s="1"/>
  <c r="BN24" i="7" s="1"/>
  <c r="BQ24" i="7" s="1"/>
  <c r="BT24" i="7" s="1"/>
  <c r="BW24" i="7" s="1"/>
  <c r="BZ24" i="7" s="1"/>
  <c r="CC24" i="7" s="1"/>
  <c r="CE30" i="7"/>
  <c r="BB30" i="7"/>
  <c r="BE30" i="7" s="1"/>
  <c r="BH30" i="7" s="1"/>
  <c r="BK30" i="7" s="1"/>
  <c r="BN30" i="7" s="1"/>
  <c r="BQ30" i="7" s="1"/>
  <c r="BT30" i="7" s="1"/>
  <c r="BW30" i="7" s="1"/>
  <c r="BZ30" i="7" s="1"/>
  <c r="CC30" i="7" s="1"/>
  <c r="BB39" i="7"/>
  <c r="BE39" i="7" s="1"/>
  <c r="BH39" i="7" s="1"/>
  <c r="BK39" i="7" s="1"/>
  <c r="BN39" i="7" s="1"/>
  <c r="BQ39" i="7" s="1"/>
  <c r="BT39" i="7" s="1"/>
  <c r="BW39" i="7" s="1"/>
  <c r="BZ39" i="7" s="1"/>
  <c r="CC39" i="7" s="1"/>
  <c r="CE39" i="7"/>
  <c r="CE29" i="7"/>
  <c r="BB29" i="7"/>
  <c r="BE29" i="7" s="1"/>
  <c r="BH29" i="7" s="1"/>
  <c r="BK29" i="7" s="1"/>
  <c r="BN29" i="7" s="1"/>
  <c r="BQ29" i="7" s="1"/>
  <c r="BT29" i="7" s="1"/>
  <c r="BW29" i="7" s="1"/>
  <c r="BZ29" i="7" s="1"/>
  <c r="CC29" i="7" s="1"/>
  <c r="CE36" i="7"/>
  <c r="BB36" i="7"/>
  <c r="BE36" i="7" s="1"/>
  <c r="BH36" i="7" s="1"/>
  <c r="BK36" i="7" s="1"/>
  <c r="BN36" i="7" s="1"/>
  <c r="BQ36" i="7" s="1"/>
  <c r="BT36" i="7" s="1"/>
  <c r="BW36" i="7" s="1"/>
  <c r="BZ36" i="7" s="1"/>
  <c r="CC36" i="7" s="1"/>
  <c r="CE54" i="7"/>
  <c r="BB54" i="7"/>
  <c r="BE54" i="7" s="1"/>
  <c r="BH54" i="7" s="1"/>
  <c r="BK54" i="7" s="1"/>
  <c r="BN54" i="7" s="1"/>
  <c r="BQ54" i="7" s="1"/>
  <c r="BT54" i="7" s="1"/>
  <c r="BW54" i="7" s="1"/>
  <c r="BZ54" i="7" s="1"/>
  <c r="CC54" i="7" s="1"/>
  <c r="CE40" i="7"/>
  <c r="BB40" i="7"/>
  <c r="CE28" i="7"/>
  <c r="BB28" i="7"/>
  <c r="BE28" i="7" s="1"/>
  <c r="BH28" i="7" s="1"/>
  <c r="BK28" i="7" s="1"/>
  <c r="CE27" i="7"/>
  <c r="BB27" i="7"/>
  <c r="BE27" i="7" s="1"/>
  <c r="BH27" i="7" s="1"/>
  <c r="BK27" i="7" s="1"/>
  <c r="BN27" i="7" s="1"/>
  <c r="BB41" i="7"/>
  <c r="BE41" i="7" s="1"/>
  <c r="BH41" i="7" s="1"/>
  <c r="BK41" i="7" s="1"/>
  <c r="BN41" i="7" s="1"/>
  <c r="BQ41" i="7" s="1"/>
  <c r="BT41" i="7" s="1"/>
  <c r="BW41" i="7" s="1"/>
  <c r="BZ41" i="7" s="1"/>
  <c r="CC41" i="7" s="1"/>
  <c r="BB43" i="7"/>
  <c r="BE43" i="7" s="1"/>
  <c r="BH43" i="7" s="1"/>
  <c r="BK43" i="7" s="1"/>
  <c r="AJ61" i="7"/>
  <c r="AM61" i="7" s="1"/>
  <c r="AP61" i="7" s="1"/>
  <c r="AS61" i="7" s="1"/>
  <c r="AV61" i="7" s="1"/>
  <c r="AY61" i="7" s="1"/>
  <c r="G61" i="7" s="1"/>
  <c r="CE44" i="7"/>
  <c r="BB44" i="7"/>
  <c r="BE44" i="7" s="1"/>
  <c r="AM50" i="7"/>
  <c r="AP50" i="7" s="1"/>
  <c r="AS50" i="7" s="1"/>
  <c r="AV50" i="7" s="1"/>
  <c r="AY50" i="7" s="1"/>
  <c r="G50" i="7" s="1"/>
  <c r="BB5" i="7"/>
  <c r="BE5" i="7" s="1"/>
  <c r="BH5" i="7" s="1"/>
  <c r="BK5" i="7" s="1"/>
  <c r="BN5" i="7" s="1"/>
  <c r="BQ5" i="7" s="1"/>
  <c r="BT5" i="7" s="1"/>
  <c r="BW5" i="7" s="1"/>
  <c r="BZ5" i="7" s="1"/>
  <c r="CC5" i="7" s="1"/>
  <c r="AP64" i="7"/>
  <c r="AS64" i="7" s="1"/>
  <c r="AV64" i="7" s="1"/>
  <c r="BB45" i="7" l="1"/>
  <c r="BE45" i="7" s="1"/>
  <c r="BH45" i="7" s="1"/>
  <c r="BK45" i="7" s="1"/>
  <c r="BN45" i="7" s="1"/>
  <c r="BQ45" i="7" s="1"/>
  <c r="BT45" i="7" s="1"/>
  <c r="BW45" i="7" s="1"/>
  <c r="BZ45" i="7" s="1"/>
  <c r="CC45" i="7" s="1"/>
  <c r="BB35" i="7"/>
  <c r="BE35" i="7" s="1"/>
  <c r="BH35" i="7" s="1"/>
  <c r="BK35" i="7" s="1"/>
  <c r="BN35" i="7" s="1"/>
  <c r="BQ35" i="7" s="1"/>
  <c r="BT35" i="7" s="1"/>
  <c r="BW35" i="7" s="1"/>
  <c r="BZ35" i="7" s="1"/>
  <c r="CC35" i="7" s="1"/>
  <c r="CE22" i="7"/>
  <c r="BB22" i="7"/>
  <c r="BE22" i="7" s="1"/>
  <c r="BH22" i="7" s="1"/>
  <c r="BK22" i="7" s="1"/>
  <c r="BN22" i="7" s="1"/>
  <c r="BQ22" i="7" s="1"/>
  <c r="BT22" i="7" s="1"/>
  <c r="BW22" i="7" s="1"/>
  <c r="BZ22" i="7" s="1"/>
  <c r="CC22" i="7" s="1"/>
  <c r="CE35" i="7"/>
  <c r="BB33" i="7"/>
  <c r="BE33" i="7" s="1"/>
  <c r="BH33" i="7" s="1"/>
  <c r="BK33" i="7" s="1"/>
  <c r="BN33" i="7" s="1"/>
  <c r="BQ33" i="7" s="1"/>
  <c r="BT33" i="7" s="1"/>
  <c r="BW33" i="7" s="1"/>
  <c r="BZ33" i="7" s="1"/>
  <c r="CC33" i="7" s="1"/>
  <c r="CE45" i="7"/>
  <c r="AY37" i="7"/>
  <c r="CE33" i="7"/>
  <c r="AY12" i="7"/>
  <c r="AY63" i="7"/>
  <c r="CE61" i="7"/>
  <c r="BB61" i="7"/>
  <c r="BE61" i="7" s="1"/>
  <c r="BH61" i="7" s="1"/>
  <c r="BK61" i="7" s="1"/>
  <c r="BN61" i="7" s="1"/>
  <c r="BQ61" i="7" s="1"/>
  <c r="BT61" i="7" s="1"/>
  <c r="BW61" i="7" s="1"/>
  <c r="BZ61" i="7" s="1"/>
  <c r="CC61" i="7" s="1"/>
  <c r="CE50" i="7"/>
  <c r="BB50" i="7"/>
  <c r="BE50" i="7" s="1"/>
  <c r="BH50" i="7" s="1"/>
  <c r="BK50" i="7" s="1"/>
  <c r="BN50" i="7" s="1"/>
  <c r="BQ50" i="7" s="1"/>
  <c r="BT50" i="7" s="1"/>
  <c r="BW50" i="7" s="1"/>
  <c r="BZ50" i="7" s="1"/>
  <c r="CC50" i="7" s="1"/>
  <c r="AY64" i="7"/>
  <c r="BT64" i="7" s="1"/>
  <c r="BW64" i="7" s="1"/>
  <c r="BZ64" i="7" s="1"/>
  <c r="CC64" i="7" s="1"/>
  <c r="G64" i="7" l="1"/>
  <c r="BB63" i="7"/>
  <c r="BE63" i="7" s="1"/>
  <c r="G63" i="7"/>
  <c r="CE37" i="7"/>
  <c r="G37" i="7"/>
  <c r="BQ12" i="7"/>
  <c r="BT12" i="7" s="1"/>
  <c r="BW12" i="7" s="1"/>
  <c r="BZ12" i="7" s="1"/>
  <c r="G12" i="7"/>
  <c r="BB37" i="7"/>
  <c r="BE37" i="7" s="1"/>
  <c r="BH37" i="7" s="1"/>
  <c r="BK37" i="7" s="1"/>
  <c r="BN37" i="7" s="1"/>
  <c r="BQ37" i="7" s="1"/>
  <c r="BT37" i="7" s="1"/>
  <c r="BW37" i="7" s="1"/>
  <c r="BZ37" i="7" s="1"/>
  <c r="CC37" i="7" s="1"/>
  <c r="BH63" i="7"/>
  <c r="BK63" i="7" s="1"/>
  <c r="CE63" i="7"/>
  <c r="BN63" i="7"/>
  <c r="BQ63" i="7" s="1"/>
  <c r="BT63" i="7" s="1"/>
  <c r="BW63" i="7" s="1"/>
  <c r="BZ63" i="7" s="1"/>
  <c r="CC63" i="7" s="1"/>
  <c r="CE12" i="7"/>
  <c r="BK12" i="7"/>
  <c r="BN12" i="7" s="1"/>
  <c r="BB12" i="7"/>
  <c r="BE12" i="7"/>
  <c r="BH12" i="7" s="1"/>
  <c r="CC12" i="7"/>
  <c r="BB64" i="7"/>
  <c r="BE64" i="7" s="1"/>
  <c r="BH64" i="7" s="1"/>
  <c r="BK64" i="7" s="1"/>
  <c r="BN64" i="7" s="1"/>
  <c r="BQ64" i="7" s="1"/>
  <c r="CE64" i="7"/>
  <c r="B24" i="9"/>
  <c r="B23" i="9"/>
  <c r="B22" i="9"/>
  <c r="B21" i="9"/>
  <c r="B20" i="9"/>
  <c r="B19" i="9"/>
  <c r="B18" i="9"/>
  <c r="B17" i="9"/>
  <c r="B16" i="9"/>
  <c r="B15" i="9"/>
  <c r="B14" i="9"/>
  <c r="B13" i="9"/>
  <c r="B12" i="9"/>
  <c r="B11" i="9"/>
  <c r="B10" i="9"/>
  <c r="B9" i="9"/>
  <c r="B2" i="9"/>
  <c r="B5" i="9"/>
  <c r="B4" i="9"/>
  <c r="B3" i="9"/>
  <c r="B25" i="9" l="1"/>
  <c r="C9" i="9" s="1"/>
  <c r="B6" i="9"/>
  <c r="BA4" i="7"/>
  <c r="BD4" i="7" s="1"/>
  <c r="BG4" i="7" s="1"/>
  <c r="BJ4" i="7" s="1"/>
  <c r="BM4" i="7" s="1"/>
  <c r="BP4" i="7" s="1"/>
  <c r="BS4" i="7" s="1"/>
  <c r="BV4" i="7" s="1"/>
  <c r="BY4" i="7" s="1"/>
  <c r="CB4" i="7" s="1"/>
  <c r="K4" i="7"/>
  <c r="L4" i="7" s="1"/>
  <c r="G1" i="7"/>
  <c r="E2" i="6"/>
  <c r="D2" i="6" s="1"/>
  <c r="D3" i="6"/>
  <c r="I6" i="6" s="1"/>
  <c r="M1" i="7"/>
  <c r="O66" i="7"/>
  <c r="R66" i="7" s="1"/>
  <c r="U66" i="7" s="1"/>
  <c r="X66" i="7" s="1"/>
  <c r="AA66" i="7" s="1"/>
  <c r="AD66" i="7" s="1"/>
  <c r="AG66" i="7" s="1"/>
  <c r="AJ66" i="7" s="1"/>
  <c r="AM66" i="7" s="1"/>
  <c r="AP66" i="7" s="1"/>
  <c r="AS66" i="7" s="1"/>
  <c r="AV66" i="7" s="1"/>
  <c r="AY66" i="7" s="1"/>
  <c r="Y70" i="7"/>
  <c r="AB70" i="7"/>
  <c r="AE70" i="7"/>
  <c r="AH70" i="7"/>
  <c r="AK70" i="7"/>
  <c r="AN70" i="7"/>
  <c r="AQ70" i="7"/>
  <c r="AT70" i="7"/>
  <c r="AW70" i="7"/>
  <c r="J70" i="7"/>
  <c r="A19" i="8"/>
  <c r="CE65" i="7"/>
  <c r="I70" i="7"/>
  <c r="M70" i="7"/>
  <c r="P70" i="7"/>
  <c r="S70" i="7"/>
  <c r="V70" i="7"/>
  <c r="AZ70" i="7"/>
  <c r="BC70" i="7"/>
  <c r="BF70" i="7"/>
  <c r="BI70" i="7"/>
  <c r="BL70" i="7"/>
  <c r="BO70" i="7"/>
  <c r="BR70" i="7"/>
  <c r="BU70" i="7"/>
  <c r="BX70" i="7"/>
  <c r="CA70" i="7"/>
  <c r="BB66" i="7"/>
  <c r="BE66" i="7" s="1"/>
  <c r="BH66" i="7" s="1"/>
  <c r="BK66" i="7" s="1"/>
  <c r="BN66" i="7" s="1"/>
  <c r="BQ66" i="7" s="1"/>
  <c r="BT66" i="7" s="1"/>
  <c r="BW66" i="7" s="1"/>
  <c r="BZ66" i="7" s="1"/>
  <c r="CC66" i="7" s="1"/>
  <c r="AZ1" i="7"/>
  <c r="BC1" i="7" s="1"/>
  <c r="BF1" i="7" s="1"/>
  <c r="BI1" i="7" s="1"/>
  <c r="BL1" i="7" s="1"/>
  <c r="BO1" i="7" s="1"/>
  <c r="BR1" i="7" s="1"/>
  <c r="BU1" i="7" s="1"/>
  <c r="BX1" i="7" s="1"/>
  <c r="CA1" i="7" s="1"/>
  <c r="C20" i="9" l="1"/>
  <c r="C24" i="9"/>
  <c r="C12" i="9"/>
  <c r="C23" i="9"/>
  <c r="C19" i="9"/>
  <c r="C15" i="9"/>
  <c r="C22" i="9"/>
  <c r="C16" i="9"/>
  <c r="C21" i="9"/>
  <c r="C17" i="9"/>
  <c r="C13" i="9"/>
  <c r="C18" i="9"/>
  <c r="C11" i="9"/>
  <c r="C10" i="9"/>
  <c r="C14" i="9"/>
  <c r="BA70" i="7"/>
  <c r="BD70" i="7"/>
  <c r="N4" i="7"/>
  <c r="Q4" i="7" s="1"/>
  <c r="T4" i="7" s="1"/>
  <c r="W4" i="7" s="1"/>
  <c r="Z4" i="7" s="1"/>
  <c r="AC4" i="7" s="1"/>
  <c r="AF4" i="7" s="1"/>
  <c r="AI4" i="7" s="1"/>
  <c r="AL4" i="7" s="1"/>
  <c r="AO4" i="7" s="1"/>
  <c r="AR4" i="7" s="1"/>
  <c r="AU4" i="7" s="1"/>
  <c r="AX4" i="7" s="1"/>
  <c r="BG70" i="7"/>
  <c r="K70" i="7"/>
  <c r="P6" i="6"/>
  <c r="I9" i="6"/>
  <c r="I10" i="6"/>
  <c r="I12" i="6"/>
  <c r="J6" i="6"/>
  <c r="I8" i="6"/>
  <c r="I13" i="6"/>
  <c r="I11" i="6"/>
  <c r="I14" i="6"/>
  <c r="E36" i="8"/>
  <c r="P1" i="7"/>
  <c r="F20" i="8"/>
  <c r="C8" i="6"/>
  <c r="C25" i="9" l="1"/>
  <c r="N70" i="7"/>
  <c r="O4" i="7"/>
  <c r="R4" i="7" s="1"/>
  <c r="BJ70" i="7"/>
  <c r="E23" i="8"/>
  <c r="E24" i="8" s="1"/>
  <c r="E22" i="8"/>
  <c r="E31" i="8"/>
  <c r="E37" i="8"/>
  <c r="E35" i="8"/>
  <c r="Q6" i="6"/>
  <c r="K6" i="6"/>
  <c r="S1" i="7"/>
  <c r="G20" i="8"/>
  <c r="F23" i="8"/>
  <c r="F22" i="8"/>
  <c r="F36" i="8" l="1"/>
  <c r="Q70" i="7"/>
  <c r="F31" i="8"/>
  <c r="W70" i="7"/>
  <c r="T70" i="7"/>
  <c r="F37" i="8"/>
  <c r="F35" i="8"/>
  <c r="U4" i="7"/>
  <c r="F24" i="8"/>
  <c r="F27" i="8" s="1"/>
  <c r="F28" i="8" s="1"/>
  <c r="BM70" i="7"/>
  <c r="Z70" i="7"/>
  <c r="R6" i="6"/>
  <c r="L6" i="6"/>
  <c r="V1" i="7"/>
  <c r="H20" i="8"/>
  <c r="G22" i="8"/>
  <c r="G23" i="8"/>
  <c r="G24" i="8" s="1"/>
  <c r="E25" i="8"/>
  <c r="E27" i="8"/>
  <c r="E28" i="8" s="1"/>
  <c r="F25" i="8" l="1"/>
  <c r="G36" i="8"/>
  <c r="G37" i="8"/>
  <c r="G35" i="8"/>
  <c r="G31" i="8"/>
  <c r="X4" i="7"/>
  <c r="BP70" i="7"/>
  <c r="G25" i="8"/>
  <c r="AC70" i="7"/>
  <c r="S6" i="6"/>
  <c r="M6" i="6"/>
  <c r="Y1" i="7"/>
  <c r="I20" i="8"/>
  <c r="G27" i="8"/>
  <c r="G28" i="8" s="1"/>
  <c r="H23" i="8"/>
  <c r="H24" i="8" s="1"/>
  <c r="H27" i="8" s="1"/>
  <c r="H22" i="8"/>
  <c r="H25" i="8" l="1"/>
  <c r="H37" i="8"/>
  <c r="H36" i="8"/>
  <c r="H31" i="8"/>
  <c r="H35" i="8"/>
  <c r="H28" i="8"/>
  <c r="AA4" i="7"/>
  <c r="AD4" i="7" s="1"/>
  <c r="BS70" i="7"/>
  <c r="AF70" i="7"/>
  <c r="N6" i="6"/>
  <c r="O6" i="6" s="1"/>
  <c r="T6" i="6"/>
  <c r="AB1" i="7"/>
  <c r="J20" i="8"/>
  <c r="I37" i="8"/>
  <c r="I23" i="8"/>
  <c r="I24" i="8" s="1"/>
  <c r="I27" i="8" s="1"/>
  <c r="I22" i="8"/>
  <c r="I31" i="8"/>
  <c r="I35" i="8" l="1"/>
  <c r="I36" i="8"/>
  <c r="I28" i="8"/>
  <c r="AG4" i="7"/>
  <c r="AJ4" i="7" s="1"/>
  <c r="J36" i="8"/>
  <c r="BV70" i="7"/>
  <c r="AI70" i="7"/>
  <c r="U6" i="6"/>
  <c r="V6" i="6" s="1"/>
  <c r="W11" i="6"/>
  <c r="W8" i="6"/>
  <c r="W10" i="6"/>
  <c r="W13" i="6"/>
  <c r="W14" i="6"/>
  <c r="W12" i="6"/>
  <c r="W9" i="6"/>
  <c r="AE1" i="7"/>
  <c r="K20" i="8"/>
  <c r="J22" i="8"/>
  <c r="J31" i="8"/>
  <c r="J23" i="8"/>
  <c r="J24" i="8" s="1"/>
  <c r="J35" i="8"/>
  <c r="I25" i="8"/>
  <c r="J37" i="8" l="1"/>
  <c r="AM4" i="7"/>
  <c r="AP4" i="7" s="1"/>
  <c r="AS4" i="7" s="1"/>
  <c r="AV4" i="7" s="1"/>
  <c r="AY4" i="7" s="1"/>
  <c r="CE4" i="7" s="1"/>
  <c r="CB70" i="7"/>
  <c r="BY70" i="7"/>
  <c r="J27" i="8"/>
  <c r="J28" i="8" s="1"/>
  <c r="J25" i="8"/>
  <c r="AL70" i="7"/>
  <c r="C9" i="6"/>
  <c r="C10" i="6" s="1"/>
  <c r="AH1" i="7"/>
  <c r="L20" i="8"/>
  <c r="K22" i="8"/>
  <c r="K23" i="8"/>
  <c r="K24" i="8" s="1"/>
  <c r="K36" i="8" l="1"/>
  <c r="K35" i="8"/>
  <c r="K37" i="8"/>
  <c r="K31" i="8"/>
  <c r="G4" i="7"/>
  <c r="BB4" i="7"/>
  <c r="BE4" i="7" s="1"/>
  <c r="BH4" i="7" s="1"/>
  <c r="BK4" i="7" s="1"/>
  <c r="BN4" i="7" s="1"/>
  <c r="BQ4" i="7" s="1"/>
  <c r="BT4" i="7" s="1"/>
  <c r="BW4" i="7" s="1"/>
  <c r="BZ4" i="7" s="1"/>
  <c r="CC4" i="7" s="1"/>
  <c r="AO70" i="7"/>
  <c r="K27" i="8"/>
  <c r="K28" i="8" s="1"/>
  <c r="K25" i="8"/>
  <c r="AK1" i="7"/>
  <c r="M20" i="8"/>
  <c r="L22" i="8"/>
  <c r="L31" i="8"/>
  <c r="L37" i="8"/>
  <c r="L35" i="8"/>
  <c r="L23" i="8"/>
  <c r="L24" i="8" s="1"/>
  <c r="L27" i="8" s="1"/>
  <c r="L28" i="8" s="1"/>
  <c r="L36" i="8"/>
  <c r="AR70" i="7" l="1"/>
  <c r="L25" i="8"/>
  <c r="N20" i="8"/>
  <c r="AN1" i="7"/>
  <c r="M23" i="8"/>
  <c r="M24" i="8" s="1"/>
  <c r="M27" i="8" s="1"/>
  <c r="M37" i="8"/>
  <c r="M31" i="8"/>
  <c r="M22" i="8"/>
  <c r="M35" i="8"/>
  <c r="M36" i="8"/>
  <c r="M28" i="8" l="1"/>
  <c r="AU70" i="7"/>
  <c r="N31" i="8"/>
  <c r="N35" i="8"/>
  <c r="N23" i="8"/>
  <c r="N24" i="8" s="1"/>
  <c r="N27" i="8" s="1"/>
  <c r="N37" i="8"/>
  <c r="N36" i="8"/>
  <c r="N22" i="8"/>
  <c r="M25" i="8"/>
  <c r="AQ1" i="7"/>
  <c r="B30" i="9" l="1"/>
  <c r="B29" i="9"/>
  <c r="B31" i="9"/>
  <c r="B32" i="9"/>
  <c r="B28" i="9"/>
  <c r="N28" i="8"/>
  <c r="AX70" i="7"/>
  <c r="AT1" i="7"/>
  <c r="N25" i="8"/>
  <c r="B33" i="9" l="1"/>
  <c r="C28" i="9" s="1"/>
  <c r="AW1" i="7"/>
  <c r="C29" i="9" l="1"/>
  <c r="C30" i="9"/>
  <c r="C32" i="9"/>
  <c r="C31" i="9"/>
  <c r="I33" i="8"/>
  <c r="I29" i="8" s="1"/>
  <c r="J33" i="8"/>
  <c r="K33" i="8"/>
  <c r="M33" i="8"/>
  <c r="N33" i="8"/>
  <c r="L33" i="8"/>
  <c r="G33" i="8"/>
  <c r="G32" i="8" s="1"/>
  <c r="H33" i="8"/>
  <c r="E33" i="8"/>
  <c r="F33" i="8"/>
  <c r="BB70" i="7"/>
  <c r="I32" i="8" l="1"/>
  <c r="C33" i="9"/>
  <c r="N32" i="8"/>
  <c r="N29" i="8"/>
  <c r="K32" i="8"/>
  <c r="K29" i="8"/>
  <c r="L32" i="8"/>
  <c r="L29" i="8"/>
  <c r="M32" i="8"/>
  <c r="M29" i="8"/>
  <c r="J32" i="8"/>
  <c r="J29" i="8"/>
  <c r="G29" i="8"/>
  <c r="H29" i="8"/>
  <c r="H32" i="8"/>
  <c r="E29" i="8"/>
  <c r="E32" i="8"/>
  <c r="F29" i="8"/>
  <c r="F32" i="8"/>
  <c r="BE70" i="7"/>
  <c r="BH70" i="7" l="1"/>
  <c r="BK70" i="7" l="1"/>
  <c r="BN70" i="7" l="1"/>
  <c r="BQ70" i="7" l="1"/>
  <c r="BT70" i="7" l="1"/>
  <c r="BW70" i="7" l="1"/>
  <c r="BZ70" i="7" l="1"/>
  <c r="CC70" i="7"/>
  <c r="C5" i="9"/>
  <c r="C4" i="9"/>
  <c r="C3" i="9"/>
  <c r="C2" i="9"/>
  <c r="C6" i="9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<sst xmlns="http://schemas.openxmlformats.org/spreadsheetml/2006/main" count="431" uniqueCount="178">
  <si>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</si>
  <si>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</si>
  <si>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</si>
  <si>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</si>
  <si>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</si>
  <si>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</si>
  <si>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</si>
  <si>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</si>
  <si>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</si>
  <si>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</si>
  <si>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</si>
  <si>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</si>
  <si>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</si>
  <si>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</si>
  <si>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</si>
  <si>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</si>
  <si>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</si>
  <si>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</si>
  <si>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</si>
  <si>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</si>
  <si>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</si>
  <si>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</si>
  <si>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</si>
  <si>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</si>
  <si>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</si>
  <si>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</si>
  <si>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</si>
  <si>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</si>
  <si>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</si>
  <si>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</si>
  <si>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</si>
  <si>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</si>
  <si>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</si>
  <si>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</si>
  <si>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</si>
  <si>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</si>
  <si>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</si>
  <si>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</si>
  <si>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</si>
  <si>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</si>
  <si>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</si>
  <si>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</si>
  <si>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</si>
  <si>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</si>
  <si>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</si>
  <si>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</si>
  <si>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</si>
  <si>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</si>
  <si>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</si>
  <si>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</si>
  <si>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</si>
  <si>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</si>
  <si>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</si>
  <si>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</si>
  <si>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</si>
  <si>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</si>
  <si>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</si>
  <si>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</si>
  <si>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</si>
  <si>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</si>
  <si>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</si>
  <si>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</si>
  <si>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</si>
  <si>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</si>
  <si>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</si>
  <si>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</si>
  <si>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</si>
  <si>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</si>
  <si>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</si>
  <si>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</si>
  <si>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</si>
  <si>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</si>
  <si>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</si>
  <si>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</si>
  <si>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</si>
  <si>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</si>
  <si>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</si>
  <si>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</si>
  <si>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</si>
  <si>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</si>
  <si>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</si>
  <si>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</si>
  <si>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</si>
  <si>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</si>
  <si>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</si>
  <si>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</si>
  <si>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</si>
  <si>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</si>
  <si>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</si>
  <si>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</si>
  <si>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</si>
  <si>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</si>
  <si>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</si>
  <si>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</si>
  <si>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</si>
  <si>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</si>
  <si>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</si>
  <si>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</si>
  <si>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</si>
  <si>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</si>
  <si>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</si>
  <si>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</si>
  <si>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</si>
  <si>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</si>
  <si>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</si>
  <si>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</si>
  <si>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</si>
  <si>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</si>
  <si>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</si>
  <si>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</si>
  <si>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</si>
  <si>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</si>
  <si>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</si>
  <si>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</si>
  <si>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</si>
  <si>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</si>
  <si>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</si>
  <si>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</si>
  <si>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</si>
  <si>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</si>
  <si>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</si>
  <si>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</si>
  <si>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</si>
  <si>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</si>
  <si>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</si>
  <si>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</si>
  <si>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</si>
  <si>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</si>
  <si>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</si>
  <si>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</si>
  <si>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</si>
  <si>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</si>
  <si>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</si>
  <si>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Unassigned</t>
  </si>
  <si>
    <t>написание баг-репорта</t>
  </si>
  <si>
    <t>olha.rassokha@nure.ua</t>
  </si>
  <si>
    <t>anna.nikonova@nure.ua</t>
  </si>
  <si>
    <t>Anastasia Fedorenko</t>
  </si>
  <si>
    <t>anastasiia.fedorenko@nure.ua</t>
  </si>
  <si>
    <t>Oleh Havrysh</t>
  </si>
  <si>
    <t>oleh.havrysh@nure.ua</t>
  </si>
  <si>
    <t>Oleksandr Shylin</t>
  </si>
  <si>
    <t>oleksandr.shylin1@nure.ua</t>
  </si>
  <si>
    <t>Irina Petrenko</t>
  </si>
  <si>
    <t>iryna.petrenko@nure.ua</t>
  </si>
  <si>
    <t>Olha Rassokha</t>
  </si>
  <si>
    <t>Anna Nikonova</t>
  </si>
  <si>
    <t>Ihor Kamianskiy</t>
  </si>
  <si>
    <t>kamyanskiy.i@gmail.com</t>
  </si>
  <si>
    <t>добавление сущности пользователя на сервер</t>
  </si>
  <si>
    <t>реализация функции регистрации на клиенте</t>
  </si>
  <si>
    <t>реализация функции аутентификации на сервере</t>
  </si>
  <si>
    <t>реализация функции аутентификации на клиенте</t>
  </si>
  <si>
    <t>интеграция сервиса Restful в каркас серверной части</t>
  </si>
  <si>
    <t>рефакторинг реализации классов DAO</t>
  </si>
  <si>
    <t>изучение методологии XP</t>
  </si>
  <si>
    <t>написание юнит тестов для взаимодействия с бд (TDD)</t>
  </si>
  <si>
    <t>написание тест-кейсов</t>
  </si>
  <si>
    <t>заполнение документации</t>
  </si>
  <si>
    <t>реализация функции валидации формы входа</t>
  </si>
  <si>
    <t>реализация функции валидации формы регистрации</t>
  </si>
  <si>
    <t>тестирование функции валидации формы входа</t>
  </si>
  <si>
    <t>тестирование функции валидации формы регистрации</t>
  </si>
  <si>
    <t>Добавление таблицы .пользователь в бд</t>
  </si>
  <si>
    <t>Доработка системы поиска карт</t>
  </si>
  <si>
    <t>Реализация функции добавления метки на карту чужого пользователя на клиенте</t>
  </si>
  <si>
    <t>Реализация функции добавления метки на карту чужого пользователя на сервере</t>
  </si>
  <si>
    <t>Как незарегистрированный пользователь я хочу зарегистрироваться в системе, чтобы иметь возможность добавлять карты и метки на них, редактировать информацию о метке</t>
  </si>
  <si>
    <t>тестирование функции регистрации</t>
  </si>
  <si>
    <t>Как зарегистрированный пользователь, я хочу войти в систему,чтобы иметь возможность добавлять карты и метки на них, редактировать информацию о метке</t>
  </si>
  <si>
    <t>тестирование функции авторизации</t>
  </si>
  <si>
    <t>рефакторинг кода</t>
  </si>
  <si>
    <t>тестирование функции добавления метки на карты других пользователей</t>
  </si>
  <si>
    <t>Как пользователь, я хочу получать уведомление об ошибке при вводе некорректных данных в форму регистрации и авторизации</t>
  </si>
  <si>
    <t>Как зарегистрированный пользователь, я хочу добавлять метки на карты других пользователей, чтобы они становились полезнее</t>
  </si>
  <si>
    <t>Как пользователь, я хочу иметь возможность просматривать информацию своего профиля</t>
  </si>
  <si>
    <t>создание окна просмотра информации профиля</t>
  </si>
  <si>
    <t>тестирование интерфейса окна просмотра информации профиля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</si>
</sst>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8" x14ac:knownFonts="1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  <font>
      <sz val="11"/>
      <color rgb="FF000000"/>
      <name val="Arial"/>
      <family val="2"/>
      <charset val="204"/>
    </font>
    <font>
      <u/>
      <sz val="11"/>
      <color rgb="FF0000FF"/>
      <name val="Calibri"/>
      <family val="2"/>
      <charset val="204"/>
    </font>
  </fonts>
  <fills count="35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  <fill>
      <patternFill patternType="solid">
        <fgColor rgb="FFB9CDE5"/>
        <bgColor rgb="FFC0C0C0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2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0" xfId="0" applyFont="1" applyFill="1" applyBorder="1"/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36" xfId="0" applyFont="1" applyFill="1" applyBorder="1"/>
    <xf numFmtId="0" fontId="21" fillId="21" borderId="37" xfId="0" applyFont="1" applyFill="1" applyBorder="1"/>
    <xf numFmtId="0" fontId="25" fillId="21" borderId="37" xfId="0" applyFont="1" applyFill="1" applyBorder="1"/>
    <xf numFmtId="0" fontId="25" fillId="21" borderId="38" xfId="0" applyFont="1" applyFill="1" applyBorder="1"/>
    <xf numFmtId="0" fontId="25" fillId="21" borderId="36" xfId="0" applyFont="1" applyFill="1" applyBorder="1"/>
    <xf numFmtId="0" fontId="25" fillId="28" borderId="37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39" xfId="0" applyFont="1" applyFill="1" applyBorder="1" applyAlignment="1">
      <alignment horizontal="center"/>
    </xf>
    <xf numFmtId="0" fontId="33" fillId="30" borderId="40" xfId="0" applyFont="1" applyFill="1" applyBorder="1" applyAlignment="1">
      <alignment horizontal="left"/>
    </xf>
    <xf numFmtId="0" fontId="33" fillId="30" borderId="41" xfId="0" applyFont="1" applyFill="1" applyBorder="1" applyAlignment="1">
      <alignment horizontal="center"/>
    </xf>
    <xf numFmtId="0" fontId="33" fillId="30" borderId="42" xfId="0" applyFont="1" applyFill="1" applyBorder="1" applyAlignment="1">
      <alignment horizontal="center"/>
    </xf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center"/>
    </xf>
    <xf numFmtId="0" fontId="33" fillId="30" borderId="45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21" fillId="30" borderId="48" xfId="0" applyFont="1" applyFill="1" applyBorder="1" applyAlignment="1">
      <alignment horizontal="left"/>
    </xf>
    <xf numFmtId="0" fontId="21" fillId="30" borderId="49" xfId="0" applyFont="1" applyFill="1" applyBorder="1" applyAlignment="1">
      <alignment horizontal="left"/>
    </xf>
    <xf numFmtId="0" fontId="21" fillId="30" borderId="50" xfId="0" applyFont="1" applyFill="1" applyBorder="1" applyAlignment="1">
      <alignment horizontal="left"/>
    </xf>
    <xf numFmtId="0" fontId="21" fillId="0" borderId="51" xfId="0" applyFont="1" applyFill="1" applyBorder="1"/>
    <xf numFmtId="0" fontId="21" fillId="0" borderId="52" xfId="0" applyFont="1" applyFill="1" applyBorder="1" applyAlignment="1">
      <alignment horizontal="left" vertical="top"/>
    </xf>
    <xf numFmtId="0" fontId="21" fillId="0" borderId="53" xfId="0" applyFont="1" applyFill="1" applyBorder="1" applyAlignment="1">
      <alignment horizontal="left"/>
    </xf>
    <xf numFmtId="0" fontId="21" fillId="0" borderId="53" xfId="36" applyFont="1" applyFill="1" applyBorder="1" applyAlignment="1" applyProtection="1">
      <alignment horizontal="left" wrapText="1"/>
    </xf>
    <xf numFmtId="0" fontId="21" fillId="0" borderId="54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46" fillId="0" borderId="0" xfId="0" applyFont="1"/>
    <xf numFmtId="0" fontId="46" fillId="0" borderId="59" xfId="0" applyFont="1" applyBorder="1" applyAlignment="1">
      <alignment vertical="center" wrapText="1"/>
    </xf>
    <xf numFmtId="0" fontId="47" fillId="31" borderId="11" xfId="36" applyFont="1" applyFill="1" applyBorder="1" applyAlignment="1" applyProtection="1"/>
    <xf numFmtId="0" fontId="1" fillId="0" borderId="11" xfId="36" applyBorder="1" applyAlignment="1" applyProtection="1"/>
    <xf numFmtId="0" fontId="1" fillId="31" borderId="11" xfId="36" applyFill="1" applyBorder="1" applyAlignment="1" applyProtection="1"/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25" fillId="0" borderId="0" xfId="0" applyFont="1" applyAlignment="1"/>
    <xf numFmtId="0" fontId="36" fillId="28" borderId="55" xfId="0" applyFont="1" applyFill="1" applyBorder="1" applyAlignment="1">
      <alignment horizontal="center"/>
    </xf>
    <xf numFmtId="0" fontId="36" fillId="28" borderId="56" xfId="0" applyFont="1" applyFill="1" applyBorder="1" applyAlignment="1">
      <alignment horizontal="center"/>
    </xf>
    <xf numFmtId="0" fontId="36" fillId="28" borderId="57" xfId="0" applyFont="1" applyFill="1" applyBorder="1" applyAlignment="1">
      <alignment horizontal="center"/>
    </xf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58" xfId="0" applyNumberFormat="1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  <xf numFmtId="49" fontId="21" fillId="32" borderId="10" xfId="0" applyNumberFormat="1" applyFont="1" applyFill="1" applyBorder="1" applyAlignment="1">
      <alignment horizontal="left" indent="1"/>
    </xf>
    <xf numFmtId="49" fontId="21" fillId="33" borderId="10" xfId="0" applyNumberFormat="1" applyFont="1" applyFill="1" applyBorder="1" applyAlignment="1">
      <alignment horizontal="left" indent="1"/>
    </xf>
    <xf numFmtId="49" fontId="21" fillId="34" borderId="10" xfId="0" applyNumberFormat="1" applyFont="1" applyFill="1" applyBorder="1" applyAlignment="1">
      <alignment horizontal="left" indent="1"/>
    </xf>
  </cellXfs>
  <cellStyles count="46">
    <cellStyle name="Accent1 - 20%" xfId="2"/>
    <cellStyle name="Accent1 - 40%" xfId="3"/>
    <cellStyle name="Accent1 - 60%" xfId="4"/>
    <cellStyle name="Accent2 - 20%" xfId="6"/>
    <cellStyle name="Accent2 - 40%" xfId="7"/>
    <cellStyle name="Accent2 - 60%" xfId="8"/>
    <cellStyle name="Accent3 - 20%" xfId="10"/>
    <cellStyle name="Accent3 - 40%" xfId="11"/>
    <cellStyle name="Accent3 - 60%" xfId="12"/>
    <cellStyle name="Accent4 - 20%" xfId="14"/>
    <cellStyle name="Accent4 - 40%" xfId="15"/>
    <cellStyle name="Accent4 - 60%" xfId="16"/>
    <cellStyle name="Accent5 - 20%" xfId="18"/>
    <cellStyle name="Accent5 - 40%" xfId="19"/>
    <cellStyle name="Accent5 - 60%" xfId="20"/>
    <cellStyle name="Accent6 - 20%" xfId="22"/>
    <cellStyle name="Accent6 - 40%" xfId="23"/>
    <cellStyle name="Accent6 - 60%" xfId="24"/>
    <cellStyle name="Emphasis 1" xfId="28"/>
    <cellStyle name="Emphasis 2" xfId="29"/>
    <cellStyle name="Emphasis 3" xfId="30"/>
    <cellStyle name="Normal 2" xfId="45"/>
    <cellStyle name="Sheet Title" xfId="42"/>
    <cellStyle name="Акцент1" xfId="1" builtinId="29" customBuiltin="1"/>
    <cellStyle name="Акцент2" xfId="5" builtinId="33" customBuiltin="1"/>
    <cellStyle name="Акцент3" xfId="9" builtinId="37" customBuiltin="1"/>
    <cellStyle name="Акцент4" xfId="13" builtinId="41" customBuiltin="1"/>
    <cellStyle name="Акцент5" xfId="17" builtinId="45" customBuiltin="1"/>
    <cellStyle name="Акцент6" xfId="21" builtinId="49" customBuiltin="1"/>
    <cellStyle name="Ввод " xfId="37" builtinId="20" customBuiltin="1"/>
    <cellStyle name="Вывод" xfId="41" builtinId="21" customBuiltin="1"/>
    <cellStyle name="Вычисление" xfId="26" builtinId="22" customBuiltin="1"/>
    <cellStyle name="Гиперссылка" xfId="36" builtinId="8"/>
    <cellStyle name="Заголовок 1" xfId="32" builtinId="16" customBuiltin="1"/>
    <cellStyle name="Заголовок 2" xfId="33" builtinId="17" customBuiltin="1"/>
    <cellStyle name="Заголовок 3" xfId="34" builtinId="18" customBuiltin="1"/>
    <cellStyle name="Заголовок 4" xfId="35" builtinId="19" customBuiltin="1"/>
    <cellStyle name="Итог" xfId="43" builtinId="25" customBuiltin="1"/>
    <cellStyle name="Контрольная ячейка" xfId="27" builtinId="23" customBuiltin="1"/>
    <cellStyle name="Нейтральный" xfId="39" builtinId="28" customBuiltin="1"/>
    <cellStyle name="Обычный" xfId="0" builtinId="0"/>
    <cellStyle name="Плохой" xfId="25" builtinId="27" customBuiltin="1"/>
    <cellStyle name="Примечание" xfId="40" builtinId="10" customBuiltin="1"/>
    <cellStyle name="Связанная ячейка" xfId="38" builtinId="24" customBuiltin="1"/>
    <cellStyle name="Текст предупреждения" xfId="44" builtinId="11" customBuiltin="1"/>
    <cellStyle name="Хороший" xfId="31" builtinId="26" customBuiltin="1"/>
  </cellStyles>
  <dxfs count="114"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13"/>
      <tableStyleElement type="headerRow" dxfId="112"/>
    </tableStyle>
  </tableStyles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Analysis!$E$37:$N$37</c:f>
              <c:numCache>
                <c:formatCode>General</c:formatCode>
                <c:ptCount val="10"/>
                <c:pt idx="0">
                  <c:v>0</c:v>
                </c:pt>
                <c:pt idx="1">
                  <c:v>7</c:v>
                </c:pt>
                <c:pt idx="2">
                  <c:v>7</c:v>
                </c:pt>
                <c:pt idx="3">
                  <c:v>10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20</c:v>
                </c:pt>
                <c:pt idx="8">
                  <c:v>22</c:v>
                </c:pt>
                <c:pt idx="9">
                  <c:v>28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Analysis!$E$36:$N$36</c:f>
              <c:numCache>
                <c:formatCode>General</c:formatCode>
                <c:ptCount val="10"/>
                <c:pt idx="0">
                  <c:v>7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4</c:v>
                </c:pt>
                <c:pt idx="8">
                  <c:v>6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Analysis!$E$35:$N$35</c:f>
              <c:numCache>
                <c:formatCode>General</c:formatCode>
                <c:ptCount val="10"/>
                <c:pt idx="0">
                  <c:v>54</c:v>
                </c:pt>
                <c:pt idx="1">
                  <c:v>54</c:v>
                </c:pt>
                <c:pt idx="2">
                  <c:v>49</c:v>
                </c:pt>
                <c:pt idx="3">
                  <c:v>47</c:v>
                </c:pt>
                <c:pt idx="4">
                  <c:v>45</c:v>
                </c:pt>
                <c:pt idx="5">
                  <c:v>40</c:v>
                </c:pt>
                <c:pt idx="6">
                  <c:v>38</c:v>
                </c:pt>
                <c:pt idx="7">
                  <c:v>37</c:v>
                </c:pt>
                <c:pt idx="8">
                  <c:v>33</c:v>
                </c:pt>
                <c:pt idx="9">
                  <c:v>33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7491584"/>
        <c:axId val="528450112"/>
      </c:areaChart>
      <c:catAx>
        <c:axId val="567491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2845011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2845011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  <c:overlay val="0"/>
        </c:title>
        <c:numFmt formatCode="General" sourceLinked="1"/>
        <c:majorTickMark val="out"/>
        <c:minorTickMark val="none"/>
        <c:tickLblPos val="none"/>
        <c:crossAx val="567491584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varyColors val="0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Analysis!$E$33:$N$33</c:f>
              <c:numCache>
                <c:formatCode>General</c:formatCode>
                <c:ptCount val="10"/>
                <c:pt idx="0">
                  <c:v>0</c:v>
                </c:pt>
                <c:pt idx="1">
                  <c:v>27</c:v>
                </c:pt>
                <c:pt idx="2">
                  <c:v>27</c:v>
                </c:pt>
                <c:pt idx="3">
                  <c:v>39</c:v>
                </c:pt>
                <c:pt idx="4">
                  <c:v>46</c:v>
                </c:pt>
                <c:pt idx="5">
                  <c:v>64</c:v>
                </c:pt>
                <c:pt idx="6">
                  <c:v>75</c:v>
                </c:pt>
                <c:pt idx="7">
                  <c:v>84</c:v>
                </c:pt>
                <c:pt idx="8">
                  <c:v>97</c:v>
                </c:pt>
                <c:pt idx="9">
                  <c:v>126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Analysis!$E$32:$N$32</c:f>
              <c:numCache>
                <c:formatCode>0</c:formatCode>
                <c:ptCount val="10"/>
                <c:pt idx="0">
                  <c:v>27</c:v>
                </c:pt>
                <c:pt idx="1">
                  <c:v>0</c:v>
                </c:pt>
                <c:pt idx="2">
                  <c:v>27</c:v>
                </c:pt>
                <c:pt idx="3">
                  <c:v>22</c:v>
                </c:pt>
                <c:pt idx="4">
                  <c:v>24</c:v>
                </c:pt>
                <c:pt idx="5">
                  <c:v>28</c:v>
                </c:pt>
                <c:pt idx="6">
                  <c:v>30</c:v>
                </c:pt>
                <c:pt idx="7">
                  <c:v>27</c:v>
                </c:pt>
                <c:pt idx="8">
                  <c:v>29</c:v>
                </c:pt>
                <c:pt idx="9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Analysis!$E$31:$N$31</c:f>
              <c:numCache>
                <c:formatCode>General</c:formatCode>
                <c:ptCount val="10"/>
                <c:pt idx="0">
                  <c:v>99</c:v>
                </c:pt>
                <c:pt idx="1">
                  <c:v>99</c:v>
                </c:pt>
                <c:pt idx="2">
                  <c:v>72</c:v>
                </c:pt>
                <c:pt idx="3">
                  <c:v>65</c:v>
                </c:pt>
                <c:pt idx="4">
                  <c:v>56</c:v>
                </c:pt>
                <c:pt idx="5">
                  <c:v>34</c:v>
                </c:pt>
                <c:pt idx="6">
                  <c:v>21</c:v>
                </c:pt>
                <c:pt idx="7">
                  <c:v>15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2609024"/>
        <c:axId val="528452992"/>
      </c:areaChart>
      <c:lineChart>
        <c:grouping val="standard"/>
        <c:varyColors val="0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  <c:dispRSqr val="0"/>
            <c:dispEq val="0"/>
          </c:trendline>
          <c:cat>
            <c:numRef>
              <c:f>Analysis!$E$19:$N$19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numCache>
            </c:numRef>
          </c:cat>
          <c:val>
            <c:numRef>
              <c:f>Analysis!$E$22:$N$22</c:f>
              <c:numCache>
                <c:formatCode>General</c:formatCode>
                <c:ptCount val="10"/>
                <c:pt idx="0">
                  <c:v>112</c:v>
                </c:pt>
                <c:pt idx="1">
                  <c:v>99</c:v>
                </c:pt>
                <c:pt idx="2">
                  <c:v>89</c:v>
                </c:pt>
                <c:pt idx="3">
                  <c:v>75</c:v>
                </c:pt>
                <c:pt idx="4">
                  <c:v>64</c:v>
                </c:pt>
                <c:pt idx="5">
                  <c:v>52</c:v>
                </c:pt>
                <c:pt idx="6">
                  <c:v>37</c:v>
                </c:pt>
                <c:pt idx="7">
                  <c:v>26</c:v>
                </c:pt>
                <c:pt idx="8">
                  <c:v>13</c:v>
                </c:pt>
                <c:pt idx="9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Analysis!$E$24:$N$24</c:f>
              <c:numCache>
                <c:formatCode>General</c:formatCode>
                <c:ptCount val="10"/>
                <c:pt idx="0">
                  <c:v>14</c:v>
                </c:pt>
                <c:pt idx="1">
                  <c:v>27</c:v>
                </c:pt>
                <c:pt idx="2">
                  <c:v>37</c:v>
                </c:pt>
                <c:pt idx="3">
                  <c:v>51</c:v>
                </c:pt>
                <c:pt idx="4">
                  <c:v>62</c:v>
                </c:pt>
                <c:pt idx="5">
                  <c:v>74</c:v>
                </c:pt>
                <c:pt idx="6">
                  <c:v>89</c:v>
                </c:pt>
                <c:pt idx="7">
                  <c:v>100</c:v>
                </c:pt>
                <c:pt idx="8">
                  <c:v>113</c:v>
                </c:pt>
                <c:pt idx="9">
                  <c:v>126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609024"/>
        <c:axId val="528452992"/>
      </c:lineChart>
      <c:catAx>
        <c:axId val="572609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ru-RU"/>
          </a:p>
        </c:txPr>
        <c:crossAx val="528452992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528452992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572609024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  <c:overlay val="0"/>
    </c:legend>
    <c:plotVisOnly val="1"/>
    <c:dispBlanksAs val="zero"/>
    <c:showDLblsOverMax val="0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invertIfNegative val="0"/>
          <c:val>
            <c:numRef>
              <c:f>'Project Specific Reports'!$B$2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invertIfNegative val="0"/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invertIfNegative val="0"/>
          <c:val>
            <c:numRef>
              <c:f>'Project Specific Reports'!$B$4</c:f>
              <c:numCache>
                <c:formatCode>General</c:formatCode>
                <c:ptCount val="1"/>
                <c:pt idx="0">
                  <c:v>13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invertIfNegative val="0"/>
          <c:val>
            <c:numRef>
              <c:f>'Project Specific Reports'!$B$5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7810304"/>
        <c:axId val="528656064"/>
      </c:barChart>
      <c:catAx>
        <c:axId val="587810304"/>
        <c:scaling>
          <c:orientation val="minMax"/>
        </c:scaling>
        <c:delete val="0"/>
        <c:axPos val="b"/>
        <c:majorTickMark val="out"/>
        <c:minorTickMark val="none"/>
        <c:tickLblPos val="nextTo"/>
        <c:crossAx val="528656064"/>
        <c:crosses val="autoZero"/>
        <c:auto val="1"/>
        <c:lblAlgn val="ctr"/>
        <c:lblOffset val="100"/>
        <c:noMultiLvlLbl val="0"/>
      </c:catAx>
      <c:valAx>
        <c:axId val="52865606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78103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invertIfNegative val="0"/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invertIfNegative val="0"/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invertIfNegative val="0"/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invertIfNegative val="0"/>
          <c:val>
            <c:numRef>
              <c:f>'Project Specific Reports'!$B$12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invertIfNegative val="0"/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invertIfNegative val="0"/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invertIfNegative val="0"/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invertIfNegative val="0"/>
          <c:val>
            <c:numRef>
              <c:f>'Project Specific Reports'!$B$16</c:f>
              <c:numCache>
                <c:formatCode>General</c:formatCode>
                <c:ptCount val="1"/>
                <c:pt idx="0">
                  <c:v>3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invertIfNegative val="0"/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invertIfNegative val="0"/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invertIfNegative val="0"/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invertIfNegative val="0"/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invertIfNegative val="0"/>
          <c:val>
            <c:numRef>
              <c:f>'Project Specific Reports'!$B$21</c:f>
              <c:numCache>
                <c:formatCode>General</c:formatCode>
                <c:ptCount val="1"/>
                <c:pt idx="0">
                  <c:v>14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invertIfNegative val="0"/>
          <c:val>
            <c:numRef>
              <c:f>'Project Specific Reports'!$B$22</c:f>
              <c:numCache>
                <c:formatCode>General</c:formatCode>
                <c:ptCount val="1"/>
                <c:pt idx="0">
                  <c:v>4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invertIfNegative val="0"/>
          <c:val>
            <c:numRef>
              <c:f>'Project Specific Reports'!$B$23</c:f>
              <c:numCache>
                <c:formatCode>General</c:formatCode>
                <c:ptCount val="1"/>
                <c:pt idx="0">
                  <c:v>6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invertIfNegative val="0"/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8599296"/>
        <c:axId val="528660672"/>
      </c:barChart>
      <c:catAx>
        <c:axId val="588599296"/>
        <c:scaling>
          <c:orientation val="minMax"/>
        </c:scaling>
        <c:delete val="0"/>
        <c:axPos val="b"/>
        <c:majorTickMark val="out"/>
        <c:minorTickMark val="none"/>
        <c:tickLblPos val="nextTo"/>
        <c:crossAx val="528660672"/>
        <c:crosses val="autoZero"/>
        <c:auto val="1"/>
        <c:lblAlgn val="ctr"/>
        <c:lblOffset val="100"/>
        <c:noMultiLvlLbl val="0"/>
      </c:catAx>
      <c:valAx>
        <c:axId val="52866067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859929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invertIfNegative val="0"/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invertIfNegative val="0"/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invertIfNegative val="0"/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invertIfNegative val="0"/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invertIfNegative val="0"/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87811840"/>
        <c:axId val="551841152"/>
      </c:barChart>
      <c:catAx>
        <c:axId val="587811840"/>
        <c:scaling>
          <c:orientation val="minMax"/>
        </c:scaling>
        <c:delete val="0"/>
        <c:axPos val="b"/>
        <c:majorTickMark val="out"/>
        <c:minorTickMark val="none"/>
        <c:tickLblPos val="nextTo"/>
        <c:crossAx val="551841152"/>
        <c:crosses val="autoZero"/>
        <c:auto val="1"/>
        <c:lblAlgn val="ctr"/>
        <c:lblOffset val="100"/>
        <c:noMultiLvlLbl val="0"/>
      </c:catAx>
      <c:valAx>
        <c:axId val="55184115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5878118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1171575</xdr:colOff>
          <xdr:row>1</xdr:row>
          <xdr:rowOff>9525</xdr:rowOff>
        </xdr:from>
        <xdr:to>
          <xdr:col>4</xdr:col>
          <xdr:colOff>2409825</xdr:colOff>
          <xdr:row>2</xdr:row>
          <xdr:rowOff>114300</xdr:rowOff>
        </xdr:to>
        <xdr:sp macro="" textlink="">
          <xdr:nvSpPr>
            <xdr:cNvPr id="6274" name="BtnInsertNewLineAtEnd" hidden="1">
              <a:extLst>
                <a:ext uri="{63B3BB69-23CF-44E3-9099-C40C66FF867C}">
                  <a14:compatExt spid="_x0000_s6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</xdr:rowOff>
        </xdr:from>
        <xdr:to>
          <xdr:col>4</xdr:col>
          <xdr:colOff>1095375</xdr:colOff>
          <xdr:row>2</xdr:row>
          <xdr:rowOff>114300</xdr:rowOff>
        </xdr:to>
        <xdr:sp macro="" textlink="">
          <xdr:nvSpPr>
            <xdr:cNvPr id="6275" name="BtnInsertNewLine" hidden="1">
              <a:extLst>
                <a:ext uri="{63B3BB69-23CF-44E3-9099-C40C66FF867C}">
                  <a14:compatExt spid="_x0000_s6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19</xdr:col>
      <xdr:colOff>257175</xdr:colOff>
      <xdr:row>14</xdr:row>
      <xdr:rowOff>123825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mailto:oleksandr.shylin1@nure.ua" TargetMode="External"/><Relationship Id="rId7" Type="http://schemas.openxmlformats.org/officeDocument/2006/relationships/hyperlink" Target="mailto:kamyanskiy.i@gmail.com" TargetMode="External"/><Relationship Id="rId2" Type="http://schemas.openxmlformats.org/officeDocument/2006/relationships/hyperlink" Target="mailto:oleh.havrysh@nure.ua" TargetMode="External"/><Relationship Id="rId1" Type="http://schemas.openxmlformats.org/officeDocument/2006/relationships/hyperlink" Target="mailto:anastasiia.fedorenko@nure.ua" TargetMode="External"/><Relationship Id="rId6" Type="http://schemas.openxmlformats.org/officeDocument/2006/relationships/hyperlink" Target="mailto:anna.nikonova@nure.ua" TargetMode="External"/><Relationship Id="rId5" Type="http://schemas.openxmlformats.org/officeDocument/2006/relationships/hyperlink" Target="mailto:olha.rassokha@nure.ua" TargetMode="External"/><Relationship Id="rId4" Type="http://schemas.openxmlformats.org/officeDocument/2006/relationships/hyperlink" Target="mailto:iryna.petrenko@nure.u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E74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C12" sqref="C12"/>
    </sheetView>
  </sheetViews>
  <sheetFormatPr defaultRowHeight="12.75" outlineLevelCol="1" x14ac:dyDescent="0.2"/>
  <cols>
    <col min="1" max="1" width="12.140625" style="6" customWidth="1"/>
    <col min="2" max="2" width="16.5703125" style="6" bestFit="1" customWidth="1"/>
    <col min="3" max="3" width="16.42578125" style="6" customWidth="1"/>
    <col min="4" max="4" width="6" style="6" customWidth="1"/>
    <col min="5" max="5" width="43.4257812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4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3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 x14ac:dyDescent="0.2">
      <c r="A1" s="1"/>
      <c r="B1" s="1"/>
      <c r="C1" s="1"/>
      <c r="D1" s="1"/>
      <c r="E1" s="2"/>
      <c r="F1" s="3" t="s">
        <v>23</v>
      </c>
      <c r="G1" s="4">
        <f>SprintStart</f>
        <v>42683</v>
      </c>
      <c r="H1" s="1"/>
      <c r="I1" s="1"/>
      <c r="J1" s="183">
        <f>SprintStart</f>
        <v>42683</v>
      </c>
      <c r="K1" s="183"/>
      <c r="L1" s="183"/>
      <c r="M1" s="183">
        <f>IF(AND(SkipWeekends, WEEKDAY(J1)=6),J1+3, J1+1)</f>
        <v>42684</v>
      </c>
      <c r="N1" s="183"/>
      <c r="O1" s="183"/>
      <c r="P1" s="183">
        <f>IF(AND(SkipWeekends, WEEKDAY(M1)=6),M1+3, M1+1)</f>
        <v>42685</v>
      </c>
      <c r="Q1" s="183"/>
      <c r="R1" s="183"/>
      <c r="S1" s="183">
        <f>IF(AND(SkipWeekends, WEEKDAY(P1)=6),P1+3, P1+1)</f>
        <v>42688</v>
      </c>
      <c r="T1" s="183"/>
      <c r="U1" s="183"/>
      <c r="V1" s="183">
        <f>IF(AND(SkipWeekends, WEEKDAY(S1)=6),S1+3, S1+1)</f>
        <v>42689</v>
      </c>
      <c r="W1" s="183"/>
      <c r="X1" s="183"/>
      <c r="Y1" s="183">
        <f>IF(AND(SkipWeekends, WEEKDAY(V1)=6),V1+3, V1+1)</f>
        <v>42690</v>
      </c>
      <c r="Z1" s="183"/>
      <c r="AA1" s="183"/>
      <c r="AB1" s="183">
        <f>IF(AND(SkipWeekends, WEEKDAY(Y1)=6),Y1+3, Y1+1)</f>
        <v>42691</v>
      </c>
      <c r="AC1" s="183"/>
      <c r="AD1" s="183"/>
      <c r="AE1" s="183">
        <f>IF(AND(SkipWeekends, WEEKDAY(AB1)=6),AB1+3, AB1+1)</f>
        <v>42692</v>
      </c>
      <c r="AF1" s="183"/>
      <c r="AG1" s="183"/>
      <c r="AH1" s="183">
        <f>IF(AND(SkipWeekends, WEEKDAY(AE1)=6),AE1+3, AE1+1)</f>
        <v>42695</v>
      </c>
      <c r="AI1" s="183"/>
      <c r="AJ1" s="183"/>
      <c r="AK1" s="183">
        <f>IF(AND(SkipWeekends, WEEKDAY(AH1)=6),AH1+3, AH1+1)</f>
        <v>42696</v>
      </c>
      <c r="AL1" s="183"/>
      <c r="AM1" s="183"/>
      <c r="AN1" s="183">
        <f>IF(AND(SkipWeekends, WEEKDAY(AK1)=6),AK1+3, AK1+1)</f>
        <v>42697</v>
      </c>
      <c r="AO1" s="183"/>
      <c r="AP1" s="183"/>
      <c r="AQ1" s="183">
        <f>IF(AND(SkipWeekends, WEEKDAY(AN1)=6),AN1+3, AN1+1)</f>
        <v>42698</v>
      </c>
      <c r="AR1" s="183"/>
      <c r="AS1" s="183"/>
      <c r="AT1" s="183">
        <f>IF(AND(SkipWeekends, WEEKDAY(AQ1)=6),AQ1+3, AQ1+1)</f>
        <v>42699</v>
      </c>
      <c r="AU1" s="183"/>
      <c r="AV1" s="183"/>
      <c r="AW1" s="183">
        <f>IF(AND(SkipWeekends, WEEKDAY(AT1)=6),AT1+3, AT1+1)</f>
        <v>42702</v>
      </c>
      <c r="AX1" s="183"/>
      <c r="AY1" s="183"/>
      <c r="AZ1" s="183" t="e">
        <f>IF(AND(SkipWeekends, WEEKDAY(#REF!)=6),#REF!+3,#REF!+ 1)</f>
        <v>#REF!</v>
      </c>
      <c r="BA1" s="183"/>
      <c r="BB1" s="183"/>
      <c r="BC1" s="183" t="e">
        <f>IF(AND(SkipWeekends, WEEKDAY(AZ1)=6),AZ1+3, AZ1+1)</f>
        <v>#REF!</v>
      </c>
      <c r="BD1" s="183"/>
      <c r="BE1" s="183"/>
      <c r="BF1" s="183" t="e">
        <f>IF(AND(SkipWeekends, WEEKDAY(BC1)=6),BC1+3, BC1+1)</f>
        <v>#REF!</v>
      </c>
      <c r="BG1" s="183"/>
      <c r="BH1" s="183"/>
      <c r="BI1" s="183" t="e">
        <f>IF(AND(SkipWeekends, WEEKDAY(BF1)=6),BF1+3, BF1+1)</f>
        <v>#REF!</v>
      </c>
      <c r="BJ1" s="183"/>
      <c r="BK1" s="183"/>
      <c r="BL1" s="183" t="e">
        <f>IF(AND(SkipWeekends, WEEKDAY(BI1)=6),BI1+3, BI1+1)</f>
        <v>#REF!</v>
      </c>
      <c r="BM1" s="183"/>
      <c r="BN1" s="183"/>
      <c r="BO1" s="183" t="e">
        <f>IF(AND(SkipWeekends, WEEKDAY(BL1)=6),BL1+3, BL1+1)</f>
        <v>#REF!</v>
      </c>
      <c r="BP1" s="183"/>
      <c r="BQ1" s="183"/>
      <c r="BR1" s="183" t="e">
        <f>IF(AND(SkipWeekends, WEEKDAY(BO1)=6),BO1+3, BO1+1)</f>
        <v>#REF!</v>
      </c>
      <c r="BS1" s="183"/>
      <c r="BT1" s="183"/>
      <c r="BU1" s="183" t="e">
        <f>IF(AND(SkipWeekends, WEEKDAY(BR1)=6),BR1+3, BR1+1)</f>
        <v>#REF!</v>
      </c>
      <c r="BV1" s="183"/>
      <c r="BW1" s="183"/>
      <c r="BX1" s="183" t="e">
        <f>IF(AND(SkipWeekends, WEEKDAY(BU1)=6),BU1+3, BU1+1)</f>
        <v>#REF!</v>
      </c>
      <c r="BY1" s="183"/>
      <c r="BZ1" s="183"/>
      <c r="CA1" s="183" t="e">
        <f>IF(AND(SkipWeekends, WEEKDAY(BX1)=6),BX1+3, BX1+1)</f>
        <v>#REF!</v>
      </c>
      <c r="CB1" s="183"/>
      <c r="CC1" s="183"/>
      <c r="CD1" s="5"/>
      <c r="CE1" s="1"/>
    </row>
    <row r="2" spans="1:83" x14ac:dyDescent="0.2">
      <c r="A2" s="1"/>
      <c r="B2" s="1"/>
      <c r="C2" s="1"/>
      <c r="D2" s="1"/>
      <c r="E2" s="7"/>
      <c r="F2" s="8"/>
      <c r="G2" s="9"/>
      <c r="H2" s="1"/>
      <c r="I2" s="1"/>
      <c r="J2" s="142"/>
      <c r="K2" s="14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 x14ac:dyDescent="0.2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43" t="s">
        <v>12</v>
      </c>
      <c r="K3" s="14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 x14ac:dyDescent="0.2">
      <c r="A4" s="16" t="s">
        <v>105</v>
      </c>
      <c r="B4" s="16" t="s">
        <v>122</v>
      </c>
      <c r="C4" s="199" t="s">
        <v>167</v>
      </c>
      <c r="D4" s="17">
        <v>1</v>
      </c>
      <c r="E4" s="168" t="s">
        <v>149</v>
      </c>
      <c r="F4" s="18" t="s">
        <v>142</v>
      </c>
      <c r="G4" s="19" t="e">
        <f t="shared" ref="G4:G64" ca="1" si="0">(INDEX(Burndown,ROW(G4)-ROW(G$3),MIN(TODAY()-SprintStart,29)*3+3))</f>
        <v>#REF!</v>
      </c>
      <c r="H4" s="20">
        <v>1</v>
      </c>
      <c r="I4" s="21">
        <v>4</v>
      </c>
      <c r="J4" s="22">
        <v>0</v>
      </c>
      <c r="K4" s="22">
        <f t="shared" ref="K4" si="1">MAX(I4-J4, 0)</f>
        <v>4</v>
      </c>
      <c r="L4" s="23" t="str">
        <f>IF(SUMPRODUCT($J$67:K$67,$J4:K4)&lt;0.5, "Pending", IF(K4&lt;0.5, "Complete", "In Progress"))</f>
        <v>Pending</v>
      </c>
      <c r="M4" s="22">
        <v>0</v>
      </c>
      <c r="N4" s="22">
        <f t="shared" ref="N4" si="2">MAX(K4-M4,0)</f>
        <v>4</v>
      </c>
      <c r="O4" s="23" t="str">
        <f>IF(SUMPRODUCT($J$67:N$67,$J4:N4)&lt;0.5, "Pending", IF(N4&lt;0.5, "Complete", "In Progress"))</f>
        <v>Pending</v>
      </c>
      <c r="P4" s="22">
        <v>0</v>
      </c>
      <c r="Q4" s="22">
        <f t="shared" ref="Q4" si="3">MAX(N4-P4,0)</f>
        <v>4</v>
      </c>
      <c r="R4" s="23" t="str">
        <f>IF(SUMPRODUCT($J$67:Q$67,$J4:Q4)&lt;0.5, "Pending", IF(Q4&lt;0.5, "Complete", "In Progress"))</f>
        <v>Pending</v>
      </c>
      <c r="S4" s="22">
        <v>0</v>
      </c>
      <c r="T4" s="22">
        <f t="shared" ref="T4" si="4">MAX(Q4-S4,0)</f>
        <v>4</v>
      </c>
      <c r="U4" s="23" t="str">
        <f>IF(SUMPRODUCT($J$67:T$67,$J4:T4)&lt;0.5, "Pending", IF(T4&lt;0.5, "Complete", "In Progress"))</f>
        <v>Pending</v>
      </c>
      <c r="V4" s="22">
        <v>0</v>
      </c>
      <c r="W4" s="22">
        <f t="shared" ref="W4" si="5">MAX(T4-V4,0)</f>
        <v>4</v>
      </c>
      <c r="X4" s="23" t="str">
        <f>IF(SUMPRODUCT($J$67:W$67,$J4:W4)&lt;0.5, "Pending", IF(W4&lt;0.5, "Complete", "In Progress"))</f>
        <v>Pending</v>
      </c>
      <c r="Y4" s="22">
        <v>0</v>
      </c>
      <c r="Z4" s="22">
        <f t="shared" ref="Z4" si="6">MAX(W4-Y4,0)</f>
        <v>4</v>
      </c>
      <c r="AA4" s="23" t="str">
        <f>IF(SUMPRODUCT($J$67:Z$67,$J4:Z4)&lt;0.5, "Pending", IF(Z4&lt;0.5, "Complete", "In Progress"))</f>
        <v>Pending</v>
      </c>
      <c r="AB4" s="22">
        <v>0</v>
      </c>
      <c r="AC4" s="22">
        <f t="shared" ref="AC4" si="7">MAX(Z4-AB4,0)</f>
        <v>4</v>
      </c>
      <c r="AD4" s="23" t="str">
        <f>IF(SUMPRODUCT($J$67:AC$67,$J4:AC4)&lt;0.5, "Pending", IF(AC4&lt;0.5, "Complete", "In Progress"))</f>
        <v>Pending</v>
      </c>
      <c r="AE4" s="22">
        <v>0</v>
      </c>
      <c r="AF4" s="22">
        <f t="shared" ref="AF4" si="8">MAX(AC4-AE4,0)</f>
        <v>4</v>
      </c>
      <c r="AG4" s="23" t="str">
        <f>IF(SUMPRODUCT($J$67:AF$67,$J4:AF4)&lt;0.5, "Pending", IF(AF4&lt;0.5, "Complete", "In Progress"))</f>
        <v>Pending</v>
      </c>
      <c r="AH4" s="22">
        <v>2</v>
      </c>
      <c r="AI4" s="22">
        <f t="shared" ref="AI4" si="9">MAX(AF4-AH4,0)</f>
        <v>2</v>
      </c>
      <c r="AJ4" s="23" t="str">
        <f>IF(SUMPRODUCT($J$67:AI$67,$J4:AI4)&lt;0.5, "Pending", IF(AI4&lt;0.5, "Complete", "In Progress"))</f>
        <v>In Progress</v>
      </c>
      <c r="AK4" s="22">
        <v>2</v>
      </c>
      <c r="AL4" s="22">
        <f t="shared" ref="AL4" si="10">MAX(AI4-AK4,0)</f>
        <v>0</v>
      </c>
      <c r="AM4" s="23" t="str">
        <f>IF(SUMPRODUCT($J$67:AL$67,$J4:AL4)&lt;0.5, "Pending", IF(AL4&lt;0.5, "Complete", "In Progress"))</f>
        <v>Complete</v>
      </c>
      <c r="AN4" s="22">
        <v>0</v>
      </c>
      <c r="AO4" s="22">
        <f t="shared" ref="AO4" si="11">MAX(AL4-AN4,0)</f>
        <v>0</v>
      </c>
      <c r="AP4" s="23" t="str">
        <f>IF(SUMPRODUCT($J$67:AO$67,$J4:AO4)&lt;0.5, "Pending", IF(AO4&lt;0.5, "Complete", "In Progress"))</f>
        <v>Complete</v>
      </c>
      <c r="AQ4" s="22">
        <v>0</v>
      </c>
      <c r="AR4" s="22">
        <f t="shared" ref="AR4" si="12">MAX(AO4-AQ4,0)</f>
        <v>0</v>
      </c>
      <c r="AS4" s="23" t="str">
        <f>IF(SUMPRODUCT($J$67:AR$67,$J4:AR4)&lt;0.5, "Pending", IF(AR4&lt;0.5, "Complete", "In Progress"))</f>
        <v>Complete</v>
      </c>
      <c r="AT4" s="22">
        <v>0</v>
      </c>
      <c r="AU4" s="22">
        <f t="shared" ref="AU4" si="13">MAX(AR4-AT4,0)</f>
        <v>0</v>
      </c>
      <c r="AV4" s="23" t="str">
        <f>IF(SUMPRODUCT($J$67:AU$67,$J4:AU4)&lt;0.5, "Pending", IF(AU4&lt;0.5, "Complete", "In Progress"))</f>
        <v>Complete</v>
      </c>
      <c r="AW4" s="22">
        <v>0</v>
      </c>
      <c r="AX4" s="22">
        <f t="shared" ref="AX4" si="14">MAX(AU4-AW4,0)</f>
        <v>0</v>
      </c>
      <c r="AY4" s="23" t="str">
        <f>IF(SUMPRODUCT($J$67:AX$67,$J4:AX4)&lt;0.5, "Pending", IF(AX4&lt;0.5, "Complete", "In Progress"))</f>
        <v>Complete</v>
      </c>
      <c r="AZ4" s="22">
        <v>0</v>
      </c>
      <c r="BA4" s="22" t="e">
        <f>MAX(#REF!-AZ4,0)</f>
        <v>#REF!</v>
      </c>
      <c r="BB4" s="23" t="e">
        <f>IF(SUMPRODUCT($J$67:BA$67,$J4:BA4)&lt;0.5,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IF(SUMPRODUCT($J$67:BD$67,$J4:BD4)&lt;0.5,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IF(SUMPRODUCT($J$67:BG$67,$J4:BG4)&lt;0.5,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IF(SUMPRODUCT($J$67:BJ$67,$J4:BJ4)&lt;0.5,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IF(SUMPRODUCT($J$67:BM$67,$J4:BM4)&lt;0.5,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IF(SUMPRODUCT($J$67:BP$67,$J4:BP4)&lt;0.5,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IF(SUMPRODUCT($J$67:BS$67,$J4:BS4)&lt;0.5,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IF(SUMPRODUCT($J$67:BV$67,$J4:BV4)&lt;0.5,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IF(SUMPRODUCT($J$67:BY$67,$J4:BY4)&lt;0.5,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IF(SUMPRODUCT($J$67:CB$67,$J4:CB4)&lt;0.5, "Pending", IF(CB4&lt;0.5, "Complete", "In Progress"))</f>
        <v>#REF!</v>
      </c>
      <c r="CD4" s="24"/>
      <c r="CE4" s="25">
        <f>SUMPRODUCT($H$67:AY$67,$H4:AY4)</f>
        <v>4</v>
      </c>
    </row>
    <row r="5" spans="1:83" x14ac:dyDescent="0.2">
      <c r="A5" s="16" t="s">
        <v>105</v>
      </c>
      <c r="B5" s="16" t="s">
        <v>122</v>
      </c>
      <c r="C5" s="199" t="s">
        <v>167</v>
      </c>
      <c r="D5" s="17">
        <v>2</v>
      </c>
      <c r="E5" s="168" t="s">
        <v>150</v>
      </c>
      <c r="F5" s="18" t="s">
        <v>138</v>
      </c>
      <c r="G5" s="19" t="e">
        <f t="shared" ca="1" si="0"/>
        <v>#REF!</v>
      </c>
      <c r="H5" s="20">
        <v>1</v>
      </c>
      <c r="I5" s="21">
        <v>6</v>
      </c>
      <c r="J5" s="22">
        <v>0</v>
      </c>
      <c r="K5" s="22">
        <f t="shared" ref="K5:K63" si="24">MAX(I5-J5, 0)</f>
        <v>6</v>
      </c>
      <c r="L5" s="23" t="str">
        <f>IF(SUMPRODUCT($J$67:K$67,$J5:K5)&lt;0.5, "Pending", IF(K5&lt;0.5, "Complete", "In Progress"))</f>
        <v>Pending</v>
      </c>
      <c r="M5" s="22">
        <v>0</v>
      </c>
      <c r="N5" s="22">
        <f t="shared" ref="N5:N63" si="25">MAX(K5-M5,0)</f>
        <v>6</v>
      </c>
      <c r="O5" s="23" t="str">
        <f>IF(SUMPRODUCT($J$67:N$67,$J5:N5)&lt;0.5, "Pending", IF(N5&lt;0.5, "Complete", "In Progress"))</f>
        <v>Pending</v>
      </c>
      <c r="P5" s="22">
        <v>0</v>
      </c>
      <c r="Q5" s="22">
        <f t="shared" ref="Q5:Q63" si="26">MAX(N5-P5,0)</f>
        <v>6</v>
      </c>
      <c r="R5" s="23" t="str">
        <f>IF(SUMPRODUCT($J$67:Q$67,$J5:Q5)&lt;0.5, "Pending", IF(Q5&lt;0.5, "Complete", "In Progress"))</f>
        <v>Pending</v>
      </c>
      <c r="S5" s="22">
        <v>0</v>
      </c>
      <c r="T5" s="22">
        <f t="shared" ref="T5:T63" si="27">MAX(Q5-S5,0)</f>
        <v>6</v>
      </c>
      <c r="U5" s="23" t="str">
        <f>IF(SUMPRODUCT($J$67:T$67,$J5:T5)&lt;0.5, "Pending", IF(T5&lt;0.5, "Complete", "In Progress"))</f>
        <v>Pending</v>
      </c>
      <c r="V5" s="22">
        <v>2</v>
      </c>
      <c r="W5" s="22">
        <f t="shared" ref="W5:W63" si="28">MAX(T5-V5,0)</f>
        <v>4</v>
      </c>
      <c r="X5" s="23" t="str">
        <f>IF(SUMPRODUCT($J$67:W$67,$J5:W5)&lt;0.5, "Pending", IF(W5&lt;0.5, "Complete", "In Progress"))</f>
        <v>In Progress</v>
      </c>
      <c r="Y5" s="22">
        <v>2</v>
      </c>
      <c r="Z5" s="22">
        <f t="shared" ref="Z5:Z63" si="29">MAX(W5-Y5,0)</f>
        <v>2</v>
      </c>
      <c r="AA5" s="23" t="str">
        <f>IF(SUMPRODUCT($J$67:Z$67,$J5:Z5)&lt;0.5, "Pending", IF(Z5&lt;0.5, "Complete", "In Progress"))</f>
        <v>In Progress</v>
      </c>
      <c r="AB5" s="22">
        <v>2</v>
      </c>
      <c r="AC5" s="22">
        <f t="shared" ref="AC5:AC63" si="30">MAX(Z5-AB5,0)</f>
        <v>0</v>
      </c>
      <c r="AD5" s="23" t="str">
        <f>IF(SUMPRODUCT($J$67:AC$67,$J5:AC5)&lt;0.5, "Pending", IF(AC5&lt;0.5, "Complete", "In Progress"))</f>
        <v>Complete</v>
      </c>
      <c r="AE5" s="22">
        <v>0</v>
      </c>
      <c r="AF5" s="22">
        <f t="shared" ref="AF5:AF63" si="31">MAX(AC5-AE5,0)</f>
        <v>0</v>
      </c>
      <c r="AG5" s="23" t="str">
        <f>IF(SUMPRODUCT($J$67:AF$67,$J5:AF5)&lt;0.5, "Pending", IF(AF5&lt;0.5, "Complete", "In Progress"))</f>
        <v>Complete</v>
      </c>
      <c r="AH5" s="22">
        <v>0</v>
      </c>
      <c r="AI5" s="22">
        <f t="shared" ref="AI5:AI63" si="32">MAX(AF5-AH5,0)</f>
        <v>0</v>
      </c>
      <c r="AJ5" s="23" t="str">
        <f>IF(SUMPRODUCT($J$67:AI$67,$J5:AI5)&lt;0.5, "Pending", IF(AI5&lt;0.5, "Complete", "In Progress"))</f>
        <v>Complete</v>
      </c>
      <c r="AK5" s="22">
        <v>0</v>
      </c>
      <c r="AL5" s="22">
        <f t="shared" ref="AL5:AL63" si="33">MAX(AI5-AK5,0)</f>
        <v>0</v>
      </c>
      <c r="AM5" s="23" t="str">
        <f>IF(SUMPRODUCT($J$67:AL$67,$J5:AL5)&lt;0.5, "Pending", IF(AL5&lt;0.5, "Complete", "In Progress"))</f>
        <v>Complete</v>
      </c>
      <c r="AN5" s="22">
        <v>0</v>
      </c>
      <c r="AO5" s="22">
        <f t="shared" ref="AO5:AO63" si="34">MAX(AL5-AN5,0)</f>
        <v>0</v>
      </c>
      <c r="AP5" s="23" t="str">
        <f>IF(SUMPRODUCT($J$67:AO$67,$J5:AO5)&lt;0.5, "Pending", IF(AO5&lt;0.5, "Complete", "In Progress"))</f>
        <v>Complete</v>
      </c>
      <c r="AQ5" s="22">
        <v>0</v>
      </c>
      <c r="AR5" s="22">
        <f t="shared" ref="AR5:AR63" si="35">MAX(AO5-AQ5,0)</f>
        <v>0</v>
      </c>
      <c r="AS5" s="23" t="str">
        <f>IF(SUMPRODUCT($J$67:AR$67,$J5:AR5)&lt;0.5, "Pending", IF(AR5&lt;0.5, "Complete", "In Progress"))</f>
        <v>Complete</v>
      </c>
      <c r="AT5" s="22">
        <v>0</v>
      </c>
      <c r="AU5" s="22">
        <f t="shared" ref="AU5:AU63" si="36">MAX(AR5-AT5,0)</f>
        <v>0</v>
      </c>
      <c r="AV5" s="23" t="str">
        <f>IF(SUMPRODUCT($J$67:AU$67,$J5:AU5)&lt;0.5, "Pending", IF(AU5&lt;0.5, "Complete", "In Progress"))</f>
        <v>Complete</v>
      </c>
      <c r="AW5" s="22">
        <v>0</v>
      </c>
      <c r="AX5" s="22">
        <f t="shared" ref="AX5:AX63" si="37">MAX(AU5-AW5,0)</f>
        <v>0</v>
      </c>
      <c r="AY5" s="23" t="str">
        <f>IF(SUMPRODUCT($J$67:AX$67,$J5:AX5)&lt;0.5, "Pending", IF(AX5&lt;0.5, "Complete", "In Progress"))</f>
        <v>Complete</v>
      </c>
      <c r="AZ5" s="22">
        <v>0</v>
      </c>
      <c r="BA5" s="22" t="e">
        <f>MAX(#REF!-AZ5,0)</f>
        <v>#REF!</v>
      </c>
      <c r="BB5" s="23" t="e">
        <f>IF(SUMPRODUCT($J$67:BA$67,$J5:BA5)&lt;0.5, "Pending", IF(BA5&lt;0.5, "Complete", "In Progress"))</f>
        <v>#REF!</v>
      </c>
      <c r="BC5" s="22">
        <v>0</v>
      </c>
      <c r="BD5" s="22" t="e">
        <f t="shared" ref="BD5:BD63" si="38">MAX(BA5-BC5,0)</f>
        <v>#REF!</v>
      </c>
      <c r="BE5" s="23" t="e">
        <f>IF(SUMPRODUCT($J$67:BD$67,$J5:BD5)&lt;0.5, "Pending", IF(BD5&lt;0.5, "Complete", "In Progress"))</f>
        <v>#REF!</v>
      </c>
      <c r="BF5" s="22">
        <v>0</v>
      </c>
      <c r="BG5" s="22" t="e">
        <f t="shared" ref="BG5:BG63" si="39">MAX(BD5-BF5,0)</f>
        <v>#REF!</v>
      </c>
      <c r="BH5" s="23" t="e">
        <f>IF(SUMPRODUCT($J$67:BG$67,$J5:BG5)&lt;0.5, "Pending", IF(BG5&lt;0.5, "Complete", "In Progress"))</f>
        <v>#REF!</v>
      </c>
      <c r="BI5" s="22">
        <v>0</v>
      </c>
      <c r="BJ5" s="22" t="e">
        <f t="shared" ref="BJ5:BJ63" si="40">MAX(BG5-BI5,0)</f>
        <v>#REF!</v>
      </c>
      <c r="BK5" s="23" t="e">
        <f>IF(SUMPRODUCT($J$67:BJ$67,$J5:BJ5)&lt;0.5, "Pending", IF(BJ5&lt;0.5, "Complete", "In Progress"))</f>
        <v>#REF!</v>
      </c>
      <c r="BL5" s="22">
        <v>0</v>
      </c>
      <c r="BM5" s="22" t="e">
        <f t="shared" ref="BM5:BM63" si="41">MAX(BJ5-BL5,0)</f>
        <v>#REF!</v>
      </c>
      <c r="BN5" s="23" t="e">
        <f>IF(SUMPRODUCT($J$67:BM$67,$J5:BM5)&lt;0.5, "Pending", IF(BM5&lt;0.5, "Complete", "In Progress"))</f>
        <v>#REF!</v>
      </c>
      <c r="BO5" s="22">
        <v>0</v>
      </c>
      <c r="BP5" s="22" t="e">
        <f t="shared" ref="BP5:BP63" si="42">MAX(BM5-BO5,0)</f>
        <v>#REF!</v>
      </c>
      <c r="BQ5" s="23" t="e">
        <f>IF(SUMPRODUCT($J$67:BP$67,$J5:BP5)&lt;0.5, "Pending", IF(BP5&lt;0.5, "Complete", "In Progress"))</f>
        <v>#REF!</v>
      </c>
      <c r="BR5" s="22">
        <v>0</v>
      </c>
      <c r="BS5" s="22" t="e">
        <f t="shared" ref="BS5:BS63" si="43">MAX(BP5-BR5,0)</f>
        <v>#REF!</v>
      </c>
      <c r="BT5" s="23" t="e">
        <f>IF(SUMPRODUCT($J$67:BS$67,$J5:BS5)&lt;0.5, "Pending", IF(BS5&lt;0.5, "Complete", "In Progress"))</f>
        <v>#REF!</v>
      </c>
      <c r="BU5" s="22">
        <v>0</v>
      </c>
      <c r="BV5" s="22" t="e">
        <f t="shared" ref="BV5:BV63" si="44">MAX(BS5-BU5,0)</f>
        <v>#REF!</v>
      </c>
      <c r="BW5" s="23" t="e">
        <f>IF(SUMPRODUCT($J$67:BV$67,$J5:BV5)&lt;0.5, "Pending", IF(BV5&lt;0.5, "Complete", "In Progress"))</f>
        <v>#REF!</v>
      </c>
      <c r="BX5" s="22">
        <v>0</v>
      </c>
      <c r="BY5" s="22" t="e">
        <f t="shared" ref="BY5:BY63" si="45">MAX(BV5-BX5,0)</f>
        <v>#REF!</v>
      </c>
      <c r="BZ5" s="23" t="e">
        <f>IF(SUMPRODUCT($J$67:BY$67,$J5:BY5)&lt;0.5, "Pending", IF(BY5&lt;0.5, "Complete", "In Progress"))</f>
        <v>#REF!</v>
      </c>
      <c r="CA5" s="22">
        <v>0</v>
      </c>
      <c r="CB5" s="22" t="e">
        <f t="shared" ref="CB5:CB63" si="46">MAX(BY5-CA5,0)</f>
        <v>#REF!</v>
      </c>
      <c r="CC5" s="23" t="e">
        <f>IF(SUMPRODUCT($J$67:CB$67,$J5:CB5)&lt;0.5, "Pending", IF(CB5&lt;0.5, "Complete", "In Progress"))</f>
        <v>#REF!</v>
      </c>
      <c r="CD5" s="24"/>
      <c r="CE5" s="25">
        <f>SUMPRODUCT($H$67:AY$67,$H5:AY5)</f>
        <v>6</v>
      </c>
    </row>
    <row r="6" spans="1:83" x14ac:dyDescent="0.2">
      <c r="A6" s="16" t="s">
        <v>105</v>
      </c>
      <c r="B6" s="16" t="s">
        <v>122</v>
      </c>
      <c r="C6" s="200" t="s">
        <v>169</v>
      </c>
      <c r="D6" s="17">
        <v>3</v>
      </c>
      <c r="E6" s="168" t="s">
        <v>151</v>
      </c>
      <c r="F6" s="18" t="s">
        <v>140</v>
      </c>
      <c r="G6" s="19" t="e">
        <f t="shared" ca="1" si="0"/>
        <v>#REF!</v>
      </c>
      <c r="H6" s="20">
        <v>1</v>
      </c>
      <c r="I6" s="21">
        <v>8</v>
      </c>
      <c r="J6" s="22">
        <v>0</v>
      </c>
      <c r="K6" s="22">
        <f t="shared" si="24"/>
        <v>8</v>
      </c>
      <c r="L6" s="23" t="str">
        <f>IF(SUMPRODUCT($J$67:K$67,$J6:K6)&lt;0.5, "Pending", IF(K6&lt;0.5, "Complete", "In Progress"))</f>
        <v>Pending</v>
      </c>
      <c r="M6" s="22">
        <v>0</v>
      </c>
      <c r="N6" s="22">
        <f t="shared" si="25"/>
        <v>8</v>
      </c>
      <c r="O6" s="23" t="str">
        <f>IF(SUMPRODUCT($J$67:N$67,$J6:N6)&lt;0.5, "Pending", IF(N6&lt;0.5, "Complete", "In Progress"))</f>
        <v>Pending</v>
      </c>
      <c r="P6" s="22">
        <v>2</v>
      </c>
      <c r="Q6" s="22">
        <f t="shared" si="26"/>
        <v>6</v>
      </c>
      <c r="R6" s="23" t="str">
        <f>IF(SUMPRODUCT($J$67:Q$67,$J6:Q6)&lt;0.5, "Pending", IF(Q6&lt;0.5, "Complete", "In Progress"))</f>
        <v>In Progress</v>
      </c>
      <c r="S6" s="22">
        <v>2</v>
      </c>
      <c r="T6" s="22">
        <f t="shared" si="27"/>
        <v>4</v>
      </c>
      <c r="U6" s="23" t="str">
        <f>IF(SUMPRODUCT($J$67:T$67,$J6:T6)&lt;0.5, "Pending", IF(T6&lt;0.5, "Complete", "In Progress"))</f>
        <v>In Progress</v>
      </c>
      <c r="V6" s="22">
        <v>2</v>
      </c>
      <c r="W6" s="22">
        <f t="shared" si="28"/>
        <v>2</v>
      </c>
      <c r="X6" s="23" t="str">
        <f>IF(SUMPRODUCT($J$67:W$67,$J6:W6)&lt;0.5, "Pending", IF(W6&lt;0.5, "Complete", "In Progress"))</f>
        <v>In Progress</v>
      </c>
      <c r="Y6" s="22">
        <v>2</v>
      </c>
      <c r="Z6" s="22">
        <f t="shared" si="29"/>
        <v>0</v>
      </c>
      <c r="AA6" s="23" t="str">
        <f>IF(SUMPRODUCT($J$67:Z$67,$J6:Z6)&lt;0.5, "Pending", IF(Z6&lt;0.5, "Complete", "In Progress"))</f>
        <v>Complete</v>
      </c>
      <c r="AB6" s="22">
        <v>0</v>
      </c>
      <c r="AC6" s="22">
        <f t="shared" si="30"/>
        <v>0</v>
      </c>
      <c r="AD6" s="23" t="str">
        <f>IF(SUMPRODUCT($J$67:AC$67,$J6:AC6)&lt;0.5, "Pending", IF(AC6&lt;0.5, "Complete", "In Progress"))</f>
        <v>Complete</v>
      </c>
      <c r="AE6" s="22">
        <v>0</v>
      </c>
      <c r="AF6" s="22">
        <f t="shared" si="31"/>
        <v>0</v>
      </c>
      <c r="AG6" s="23" t="str">
        <f>IF(SUMPRODUCT($J$67:AF$67,$J6:AF6)&lt;0.5, "Pending", IF(AF6&lt;0.5, "Complete", "In Progress"))</f>
        <v>Complete</v>
      </c>
      <c r="AH6" s="22">
        <v>0</v>
      </c>
      <c r="AI6" s="22">
        <f t="shared" si="32"/>
        <v>0</v>
      </c>
      <c r="AJ6" s="23" t="str">
        <f>IF(SUMPRODUCT($J$67:AI$67,$J6:AI6)&lt;0.5, "Pending", IF(AI6&lt;0.5, "Complete", "In Progress"))</f>
        <v>Complete</v>
      </c>
      <c r="AK6" s="22">
        <v>0</v>
      </c>
      <c r="AL6" s="22">
        <f t="shared" si="33"/>
        <v>0</v>
      </c>
      <c r="AM6" s="23" t="str">
        <f>IF(SUMPRODUCT($J$67:AL$67,$J6:AL6)&lt;0.5, "Pending", IF(AL6&lt;0.5, "Complete", "In Progress"))</f>
        <v>Complete</v>
      </c>
      <c r="AN6" s="22">
        <v>0</v>
      </c>
      <c r="AO6" s="22">
        <f t="shared" si="34"/>
        <v>0</v>
      </c>
      <c r="AP6" s="23" t="str">
        <f>IF(SUMPRODUCT($J$67:AO$67,$J6:AO6)&lt;0.5, "Pending", IF(AO6&lt;0.5, "Complete", "In Progress"))</f>
        <v>Complete</v>
      </c>
      <c r="AQ6" s="22">
        <v>0</v>
      </c>
      <c r="AR6" s="22">
        <f t="shared" si="35"/>
        <v>0</v>
      </c>
      <c r="AS6" s="23" t="str">
        <f>IF(SUMPRODUCT($J$67:AR$67,$J6:AR6)&lt;0.5, "Pending", IF(AR6&lt;0.5, "Complete", "In Progress"))</f>
        <v>Complete</v>
      </c>
      <c r="AT6" s="22">
        <v>0</v>
      </c>
      <c r="AU6" s="22">
        <f t="shared" si="36"/>
        <v>0</v>
      </c>
      <c r="AV6" s="23" t="str">
        <f>IF(SUMPRODUCT($J$67:AU$67,$J6:AU6)&lt;0.5, "Pending", IF(AU6&lt;0.5, "Complete", "In Progress"))</f>
        <v>Complete</v>
      </c>
      <c r="AW6" s="22">
        <v>0</v>
      </c>
      <c r="AX6" s="22">
        <f t="shared" si="37"/>
        <v>0</v>
      </c>
      <c r="AY6" s="23" t="str">
        <f>IF(SUMPRODUCT($J$67:AX$67,$J6:AX6)&lt;0.5, "Pending", IF(AX6&lt;0.5, "Complete", "In Progress"))</f>
        <v>Complete</v>
      </c>
      <c r="AZ6" s="22">
        <v>0</v>
      </c>
      <c r="BA6" s="22" t="e">
        <f>MAX(#REF!-AZ6,0)</f>
        <v>#REF!</v>
      </c>
      <c r="BB6" s="23" t="e">
        <f>IF(SUMPRODUCT($J$67:BA$67,$J6:BA6)&lt;0.5,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IF(SUMPRODUCT($J$67:BD$67,$J6:BD6)&lt;0.5,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IF(SUMPRODUCT($J$67:BG$67,$J6:BG6)&lt;0.5,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IF(SUMPRODUCT($J$67:BJ$67,$J6:BJ6)&lt;0.5,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IF(SUMPRODUCT($J$67:BM$67,$J6:BM6)&lt;0.5,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IF(SUMPRODUCT($J$67:BP$67,$J6:BP6)&lt;0.5,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IF(SUMPRODUCT($J$67:BS$67,$J6:BS6)&lt;0.5,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IF(SUMPRODUCT($J$67:BV$67,$J6:BV6)&lt;0.5,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IF(SUMPRODUCT($J$67:BY$67,$J6:BY6)&lt;0.5,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IF(SUMPRODUCT($J$67:CB$67,$J6:CB6)&lt;0.5, "Pending", IF(CB6&lt;0.5, "Complete", "In Progress"))</f>
        <v>#REF!</v>
      </c>
      <c r="CD6" s="24"/>
      <c r="CE6" s="25">
        <f>SUMPRODUCT($H$67:AY$67,$H6:AY6)</f>
        <v>8</v>
      </c>
    </row>
    <row r="7" spans="1:83" x14ac:dyDescent="0.2">
      <c r="A7" s="16" t="s">
        <v>105</v>
      </c>
      <c r="B7" s="16" t="s">
        <v>122</v>
      </c>
      <c r="C7" s="200" t="s">
        <v>169</v>
      </c>
      <c r="D7" s="17">
        <v>4</v>
      </c>
      <c r="E7" s="168" t="s">
        <v>152</v>
      </c>
      <c r="F7" s="18" t="s">
        <v>138</v>
      </c>
      <c r="G7" s="19" t="e">
        <f t="shared" ca="1" si="0"/>
        <v>#REF!</v>
      </c>
      <c r="H7" s="20">
        <v>1</v>
      </c>
      <c r="I7" s="21">
        <v>4</v>
      </c>
      <c r="J7" s="22">
        <v>0</v>
      </c>
      <c r="K7" s="22">
        <f t="shared" si="24"/>
        <v>4</v>
      </c>
      <c r="L7" s="23" t="str">
        <f>IF(SUMPRODUCT($J$67:K$67,$J7:K7)&lt;0.5, "Pending", IF(K7&lt;0.5, "Complete", "In Progress"))</f>
        <v>Pending</v>
      </c>
      <c r="M7" s="22">
        <v>0</v>
      </c>
      <c r="N7" s="22">
        <f t="shared" si="25"/>
        <v>4</v>
      </c>
      <c r="O7" s="23" t="str">
        <f>IF(SUMPRODUCT($J$67:N$67,$J7:N7)&lt;0.5, "Pending", IF(N7&lt;0.5, "Complete", "In Progress"))</f>
        <v>Pending</v>
      </c>
      <c r="P7" s="22">
        <v>2</v>
      </c>
      <c r="Q7" s="22">
        <f t="shared" si="26"/>
        <v>2</v>
      </c>
      <c r="R7" s="23" t="str">
        <f>IF(SUMPRODUCT($J$67:Q$67,$J7:Q7)&lt;0.5, "Pending", IF(Q7&lt;0.5, "Complete", "In Progress"))</f>
        <v>In Progress</v>
      </c>
      <c r="S7" s="22">
        <v>2</v>
      </c>
      <c r="T7" s="22">
        <f t="shared" si="27"/>
        <v>0</v>
      </c>
      <c r="U7" s="23" t="str">
        <f>IF(SUMPRODUCT($J$67:T$67,$J7:T7)&lt;0.5, "Pending", IF(T7&lt;0.5, "Complete", "In Progress"))</f>
        <v>Complete</v>
      </c>
      <c r="V7" s="22">
        <v>0</v>
      </c>
      <c r="W7" s="22">
        <f t="shared" si="28"/>
        <v>0</v>
      </c>
      <c r="X7" s="23" t="str">
        <f>IF(SUMPRODUCT($J$67:W$67,$J7:W7)&lt;0.5, "Pending", IF(W7&lt;0.5, "Complete", "In Progress"))</f>
        <v>Complete</v>
      </c>
      <c r="Y7" s="22">
        <v>0</v>
      </c>
      <c r="Z7" s="22">
        <f t="shared" si="29"/>
        <v>0</v>
      </c>
      <c r="AA7" s="23" t="str">
        <f>IF(SUMPRODUCT($J$67:Z$67,$J7:Z7)&lt;0.5, "Pending", IF(Z7&lt;0.5, "Complete", "In Progress"))</f>
        <v>Complete</v>
      </c>
      <c r="AB7" s="22">
        <v>0</v>
      </c>
      <c r="AC7" s="22">
        <f t="shared" si="30"/>
        <v>0</v>
      </c>
      <c r="AD7" s="23" t="str">
        <f>IF(SUMPRODUCT($J$67:AC$67,$J7:AC7)&lt;0.5, "Pending", IF(AC7&lt;0.5, "Complete", "In Progress"))</f>
        <v>Complete</v>
      </c>
      <c r="AE7" s="22">
        <v>0</v>
      </c>
      <c r="AF7" s="22">
        <f t="shared" si="31"/>
        <v>0</v>
      </c>
      <c r="AG7" s="23" t="str">
        <f>IF(SUMPRODUCT($J$67:AF$67,$J7:AF7)&lt;0.5, "Pending", IF(AF7&lt;0.5, "Complete", "In Progress"))</f>
        <v>Complete</v>
      </c>
      <c r="AH7" s="22">
        <v>0</v>
      </c>
      <c r="AI7" s="22">
        <f t="shared" si="32"/>
        <v>0</v>
      </c>
      <c r="AJ7" s="23" t="str">
        <f>IF(SUMPRODUCT($J$67:AI$67,$J7:AI7)&lt;0.5, "Pending", IF(AI7&lt;0.5, "Complete", "In Progress"))</f>
        <v>Complete</v>
      </c>
      <c r="AK7" s="22">
        <v>0</v>
      </c>
      <c r="AL7" s="22">
        <f t="shared" si="33"/>
        <v>0</v>
      </c>
      <c r="AM7" s="23" t="str">
        <f>IF(SUMPRODUCT($J$67:AL$67,$J7:AL7)&lt;0.5, "Pending", IF(AL7&lt;0.5, "Complete", "In Progress"))</f>
        <v>Complete</v>
      </c>
      <c r="AN7" s="22">
        <v>0</v>
      </c>
      <c r="AO7" s="22">
        <f t="shared" si="34"/>
        <v>0</v>
      </c>
      <c r="AP7" s="23" t="str">
        <f>IF(SUMPRODUCT($J$67:AO$67,$J7:AO7)&lt;0.5, "Pending", IF(AO7&lt;0.5, "Complete", "In Progress"))</f>
        <v>Complete</v>
      </c>
      <c r="AQ7" s="22">
        <v>0</v>
      </c>
      <c r="AR7" s="22">
        <f t="shared" si="35"/>
        <v>0</v>
      </c>
      <c r="AS7" s="23" t="str">
        <f>IF(SUMPRODUCT($J$67:AR$67,$J7:AR7)&lt;0.5, "Pending", IF(AR7&lt;0.5, "Complete", "In Progress"))</f>
        <v>Complete</v>
      </c>
      <c r="AT7" s="22">
        <v>0</v>
      </c>
      <c r="AU7" s="22">
        <f t="shared" si="36"/>
        <v>0</v>
      </c>
      <c r="AV7" s="23" t="str">
        <f>IF(SUMPRODUCT($J$67:AU$67,$J7:AU7)&lt;0.5, "Pending", IF(AU7&lt;0.5, "Complete", "In Progress"))</f>
        <v>Complete</v>
      </c>
      <c r="AW7" s="22">
        <v>0</v>
      </c>
      <c r="AX7" s="22">
        <f t="shared" si="37"/>
        <v>0</v>
      </c>
      <c r="AY7" s="23" t="str">
        <f>IF(SUMPRODUCT($J$67:AX$67,$J7:AX7)&lt;0.5, "Pending", IF(AX7&lt;0.5, "Complete", "In Progress"))</f>
        <v>Complete</v>
      </c>
      <c r="AZ7" s="22">
        <v>0</v>
      </c>
      <c r="BA7" s="22" t="e">
        <f>MAX(#REF!-AZ7,0)</f>
        <v>#REF!</v>
      </c>
      <c r="BB7" s="23" t="e">
        <f>IF(SUMPRODUCT($J$67:BA$67,$J7:BA7)&lt;0.5,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IF(SUMPRODUCT($J$67:BD$67,$J7:BD7)&lt;0.5,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IF(SUMPRODUCT($J$67:BG$67,$J7:BG7)&lt;0.5,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IF(SUMPRODUCT($J$67:BJ$67,$J7:BJ7)&lt;0.5,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IF(SUMPRODUCT($J$67:BM$67,$J7:BM7)&lt;0.5,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IF(SUMPRODUCT($J$67:BP$67,$J7:BP7)&lt;0.5,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IF(SUMPRODUCT($J$67:BS$67,$J7:BS7)&lt;0.5,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IF(SUMPRODUCT($J$67:BV$67,$J7:BV7)&lt;0.5,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IF(SUMPRODUCT($J$67:BY$67,$J7:BY7)&lt;0.5,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IF(SUMPRODUCT($J$67:CB$67,$J7:CB7)&lt;0.5, "Pending", IF(CB7&lt;0.5, "Complete", "In Progress"))</f>
        <v>#REF!</v>
      </c>
      <c r="CD7" s="24"/>
      <c r="CE7" s="25">
        <f>SUMPRODUCT($H$67:AY$67,$H7:AY7)</f>
        <v>4</v>
      </c>
    </row>
    <row r="8" spans="1:83" x14ac:dyDescent="0.2">
      <c r="A8" s="16" t="s">
        <v>107</v>
      </c>
      <c r="B8" s="16" t="s">
        <v>122</v>
      </c>
      <c r="C8" s="16" t="s">
        <v>171</v>
      </c>
      <c r="D8" s="17">
        <v>6</v>
      </c>
      <c r="E8" s="168" t="s">
        <v>156</v>
      </c>
      <c r="F8" s="18" t="s">
        <v>142</v>
      </c>
      <c r="G8" s="19" t="e">
        <f t="shared" ca="1" si="0"/>
        <v>#REF!</v>
      </c>
      <c r="H8" s="20">
        <v>1</v>
      </c>
      <c r="I8" s="21">
        <v>4</v>
      </c>
      <c r="J8" s="22">
        <v>0</v>
      </c>
      <c r="K8" s="22">
        <f t="shared" si="24"/>
        <v>4</v>
      </c>
      <c r="L8" s="23" t="str">
        <f>IF(SUMPRODUCT($J$67:K$67,$J8:K8)&lt;0.5, "Pending", IF(K8&lt;0.5, "Complete", "In Progress"))</f>
        <v>Pending</v>
      </c>
      <c r="M8" s="22">
        <v>0</v>
      </c>
      <c r="N8" s="22">
        <f t="shared" si="25"/>
        <v>4</v>
      </c>
      <c r="O8" s="23" t="str">
        <f>IF(SUMPRODUCT($J$67:N$67,$J8:N8)&lt;0.5, "Pending", IF(N8&lt;0.5, "Complete", "In Progress"))</f>
        <v>Pending</v>
      </c>
      <c r="P8" s="22">
        <v>2</v>
      </c>
      <c r="Q8" s="22">
        <f t="shared" si="26"/>
        <v>2</v>
      </c>
      <c r="R8" s="23" t="str">
        <f>IF(SUMPRODUCT($J$67:Q$67,$J8:Q8)&lt;0.5, "Pending", IF(Q8&lt;0.5, "Complete", "In Progress"))</f>
        <v>In Progress</v>
      </c>
      <c r="S8" s="22">
        <v>2</v>
      </c>
      <c r="T8" s="22">
        <f t="shared" si="27"/>
        <v>0</v>
      </c>
      <c r="U8" s="23" t="str">
        <f>IF(SUMPRODUCT($J$67:T$67,$J8:T8)&lt;0.5, "Pending", IF(T8&lt;0.5, "Complete", "In Progress"))</f>
        <v>Complete</v>
      </c>
      <c r="V8" s="22">
        <v>0</v>
      </c>
      <c r="W8" s="22">
        <f t="shared" si="28"/>
        <v>0</v>
      </c>
      <c r="X8" s="23" t="str">
        <f>IF(SUMPRODUCT($J$67:W$67,$J8:W8)&lt;0.5, "Pending", IF(W8&lt;0.5, "Complete", "In Progress"))</f>
        <v>Complete</v>
      </c>
      <c r="Y8" s="22">
        <v>0</v>
      </c>
      <c r="Z8" s="22">
        <f t="shared" si="29"/>
        <v>0</v>
      </c>
      <c r="AA8" s="23" t="str">
        <f>IF(SUMPRODUCT($J$67:Z$67,$J8:Z8)&lt;0.5, "Pending", IF(Z8&lt;0.5, "Complete", "In Progress"))</f>
        <v>Complete</v>
      </c>
      <c r="AB8" s="22">
        <v>0</v>
      </c>
      <c r="AC8" s="22">
        <f t="shared" si="30"/>
        <v>0</v>
      </c>
      <c r="AD8" s="23" t="str">
        <f>IF(SUMPRODUCT($J$67:AC$67,$J8:AC8)&lt;0.5, "Pending", IF(AC8&lt;0.5, "Complete", "In Progress"))</f>
        <v>Complete</v>
      </c>
      <c r="AE8" s="22">
        <v>0</v>
      </c>
      <c r="AF8" s="22">
        <f t="shared" si="31"/>
        <v>0</v>
      </c>
      <c r="AG8" s="23" t="str">
        <f>IF(SUMPRODUCT($J$67:AF$67,$J8:AF8)&lt;0.5, "Pending", IF(AF8&lt;0.5, "Complete", "In Progress"))</f>
        <v>Complete</v>
      </c>
      <c r="AH8" s="22">
        <v>0</v>
      </c>
      <c r="AI8" s="22">
        <f t="shared" si="32"/>
        <v>0</v>
      </c>
      <c r="AJ8" s="23" t="str">
        <f>IF(SUMPRODUCT($J$67:AI$67,$J8:AI8)&lt;0.5, "Pending", IF(AI8&lt;0.5, "Complete", "In Progress"))</f>
        <v>Complete</v>
      </c>
      <c r="AK8" s="22">
        <v>0</v>
      </c>
      <c r="AL8" s="22">
        <f t="shared" si="33"/>
        <v>0</v>
      </c>
      <c r="AM8" s="23" t="str">
        <f>IF(SUMPRODUCT($J$67:AL$67,$J8:AL8)&lt;0.5, "Pending", IF(AL8&lt;0.5, "Complete", "In Progress"))</f>
        <v>Complete</v>
      </c>
      <c r="AN8" s="22">
        <v>0</v>
      </c>
      <c r="AO8" s="22">
        <f t="shared" si="34"/>
        <v>0</v>
      </c>
      <c r="AP8" s="23" t="str">
        <f>IF(SUMPRODUCT($J$67:AO$67,$J8:AO8)&lt;0.5, "Pending", IF(AO8&lt;0.5, "Complete", "In Progress"))</f>
        <v>Complete</v>
      </c>
      <c r="AQ8" s="22">
        <v>0</v>
      </c>
      <c r="AR8" s="22">
        <f t="shared" si="35"/>
        <v>0</v>
      </c>
      <c r="AS8" s="23" t="str">
        <f>IF(SUMPRODUCT($J$67:AR$67,$J8:AR8)&lt;0.5, "Pending", IF(AR8&lt;0.5, "Complete", "In Progress"))</f>
        <v>Complete</v>
      </c>
      <c r="AT8" s="22">
        <v>0</v>
      </c>
      <c r="AU8" s="22">
        <f t="shared" si="36"/>
        <v>0</v>
      </c>
      <c r="AV8" s="23" t="str">
        <f>IF(SUMPRODUCT($J$67:AU$67,$J8:AU8)&lt;0.5, "Pending", IF(AU8&lt;0.5, "Complete", "In Progress"))</f>
        <v>Complete</v>
      </c>
      <c r="AW8" s="22">
        <v>0</v>
      </c>
      <c r="AX8" s="22">
        <f t="shared" si="37"/>
        <v>0</v>
      </c>
      <c r="AY8" s="23" t="str">
        <f>IF(SUMPRODUCT($J$67:AX$67,$J8:AX8)&lt;0.5, "Pending", IF(AX8&lt;0.5, "Complete", "In Progress"))</f>
        <v>Complete</v>
      </c>
      <c r="AZ8" s="22">
        <v>0</v>
      </c>
      <c r="BA8" s="22" t="e">
        <f>MAX(#REF!-AZ8,0)</f>
        <v>#REF!</v>
      </c>
      <c r="BB8" s="23" t="e">
        <f>IF(SUMPRODUCT($J$67:BA$67,$J8:BA8)&lt;0.5,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IF(SUMPRODUCT($J$67:BD$67,$J8:BD8)&lt;0.5,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IF(SUMPRODUCT($J$67:BG$67,$J8:BG8)&lt;0.5,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IF(SUMPRODUCT($J$67:BJ$67,$J8:BJ8)&lt;0.5,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IF(SUMPRODUCT($J$67:BM$67,$J8:BM8)&lt;0.5,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IF(SUMPRODUCT($J$67:BP$67,$J8:BP8)&lt;0.5,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IF(SUMPRODUCT($J$67:BS$67,$J8:BS8)&lt;0.5,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IF(SUMPRODUCT($J$67:BV$67,$J8:BV8)&lt;0.5,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IF(SUMPRODUCT($J$67:BY$67,$J8:BY8)&lt;0.5,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IF(SUMPRODUCT($J$67:CB$67,$J8:CB8)&lt;0.5, "Pending", IF(CB8&lt;0.5, "Complete", "In Progress"))</f>
        <v>#REF!</v>
      </c>
      <c r="CD8" s="24"/>
      <c r="CE8" s="25">
        <f>SUMPRODUCT($H$67:AY$67,$H8:AY8)</f>
        <v>4</v>
      </c>
    </row>
    <row r="9" spans="1:83" x14ac:dyDescent="0.2">
      <c r="A9" s="16" t="s">
        <v>107</v>
      </c>
      <c r="B9" s="16" t="s">
        <v>122</v>
      </c>
      <c r="C9" s="16" t="s">
        <v>171</v>
      </c>
      <c r="D9" s="17">
        <v>7</v>
      </c>
      <c r="E9" s="168" t="s">
        <v>153</v>
      </c>
      <c r="F9" s="18" t="s">
        <v>142</v>
      </c>
      <c r="G9" s="19" t="e">
        <f t="shared" ca="1" si="0"/>
        <v>#REF!</v>
      </c>
      <c r="H9" s="20">
        <v>1</v>
      </c>
      <c r="I9" s="21">
        <v>3</v>
      </c>
      <c r="J9" s="22">
        <v>0</v>
      </c>
      <c r="K9" s="22">
        <f t="shared" ref="K9" si="47">MAX(I9-J9, 0)</f>
        <v>3</v>
      </c>
      <c r="L9" s="23" t="str">
        <f>IF(SUMPRODUCT($J$67:K$67,$J9:K9)&lt;0.5, "Pending", IF(K9&lt;0.5, "Complete", "In Progress"))</f>
        <v>Pending</v>
      </c>
      <c r="M9" s="22">
        <v>0</v>
      </c>
      <c r="N9" s="22">
        <f t="shared" ref="N9" si="48">MAX(K9-M9,0)</f>
        <v>3</v>
      </c>
      <c r="O9" s="23" t="str">
        <f>IF(SUMPRODUCT($J$67:N$67,$J9:N9)&lt;0.5, "Pending", IF(N9&lt;0.5, "Complete", "In Progress"))</f>
        <v>Pending</v>
      </c>
      <c r="P9" s="22">
        <v>0</v>
      </c>
      <c r="Q9" s="22">
        <f t="shared" ref="Q9" si="49">MAX(N9-P9,0)</f>
        <v>3</v>
      </c>
      <c r="R9" s="23" t="str">
        <f>IF(SUMPRODUCT($J$67:Q$67,$J9:Q9)&lt;0.5, "Pending", IF(Q9&lt;0.5, "Complete", "In Progress"))</f>
        <v>Pending</v>
      </c>
      <c r="S9" s="22">
        <v>0</v>
      </c>
      <c r="T9" s="22">
        <f t="shared" ref="T9" si="50">MAX(Q9-S9,0)</f>
        <v>3</v>
      </c>
      <c r="U9" s="23" t="str">
        <f>IF(SUMPRODUCT($J$67:T$67,$J9:T9)&lt;0.5, "Pending", IF(T9&lt;0.5, "Complete", "In Progress"))</f>
        <v>Pending</v>
      </c>
      <c r="V9" s="22">
        <v>2</v>
      </c>
      <c r="W9" s="22">
        <f t="shared" ref="W9" si="51">MAX(T9-V9,0)</f>
        <v>1</v>
      </c>
      <c r="X9" s="23" t="str">
        <f>IF(SUMPRODUCT($J$67:W$67,$J9:W9)&lt;0.5, "Pending", IF(W9&lt;0.5, "Complete", "In Progress"))</f>
        <v>In Progress</v>
      </c>
      <c r="Y9" s="22">
        <v>1</v>
      </c>
      <c r="Z9" s="22">
        <f t="shared" ref="Z9" si="52">MAX(W9-Y9,0)</f>
        <v>0</v>
      </c>
      <c r="AA9" s="23" t="str">
        <f>IF(SUMPRODUCT($J$67:Z$67,$J9:Z9)&lt;0.5, "Pending", IF(Z9&lt;0.5, "Complete", "In Progress"))</f>
        <v>Complete</v>
      </c>
      <c r="AB9" s="22">
        <v>0</v>
      </c>
      <c r="AC9" s="22">
        <f t="shared" ref="AC9" si="53">MAX(Z9-AB9,0)</f>
        <v>0</v>
      </c>
      <c r="AD9" s="23" t="str">
        <f>IF(SUMPRODUCT($J$67:AC$67,$J9:AC9)&lt;0.5, "Pending", IF(AC9&lt;0.5, "Complete", "In Progress"))</f>
        <v>Complete</v>
      </c>
      <c r="AE9" s="22">
        <v>0</v>
      </c>
      <c r="AF9" s="22">
        <f t="shared" ref="AF9" si="54">MAX(AC9-AE9,0)</f>
        <v>0</v>
      </c>
      <c r="AG9" s="23" t="str">
        <f>IF(SUMPRODUCT($J$67:AF$67,$J9:AF9)&lt;0.5, "Pending", IF(AF9&lt;0.5, "Complete", "In Progress"))</f>
        <v>Complete</v>
      </c>
      <c r="AH9" s="22">
        <v>0</v>
      </c>
      <c r="AI9" s="22">
        <f t="shared" ref="AI9" si="55">MAX(AF9-AH9,0)</f>
        <v>0</v>
      </c>
      <c r="AJ9" s="23" t="str">
        <f>IF(SUMPRODUCT($J$67:AI$67,$J9:AI9)&lt;0.5, "Pending", IF(AI9&lt;0.5, "Complete", "In Progress"))</f>
        <v>Complete</v>
      </c>
      <c r="AK9" s="22">
        <v>0</v>
      </c>
      <c r="AL9" s="22">
        <f t="shared" ref="AL9" si="56">MAX(AI9-AK9,0)</f>
        <v>0</v>
      </c>
      <c r="AM9" s="23" t="str">
        <f>IF(SUMPRODUCT($J$67:AL$67,$J9:AL9)&lt;0.5, "Pending", IF(AL9&lt;0.5, "Complete", "In Progress"))</f>
        <v>Complete</v>
      </c>
      <c r="AN9" s="22">
        <v>0</v>
      </c>
      <c r="AO9" s="22">
        <f t="shared" ref="AO9" si="57">MAX(AL9-AN9,0)</f>
        <v>0</v>
      </c>
      <c r="AP9" s="23" t="str">
        <f>IF(SUMPRODUCT($J$67:AO$67,$J9:AO9)&lt;0.5, "Pending", IF(AO9&lt;0.5, "Complete", "In Progress"))</f>
        <v>Complete</v>
      </c>
      <c r="AQ9" s="22">
        <v>0</v>
      </c>
      <c r="AR9" s="22">
        <f t="shared" ref="AR9" si="58">MAX(AO9-AQ9,0)</f>
        <v>0</v>
      </c>
      <c r="AS9" s="23" t="str">
        <f>IF(SUMPRODUCT($J$67:AR$67,$J9:AR9)&lt;0.5, "Pending", IF(AR9&lt;0.5, "Complete", "In Progress"))</f>
        <v>Complete</v>
      </c>
      <c r="AT9" s="22">
        <v>0</v>
      </c>
      <c r="AU9" s="22">
        <f t="shared" ref="AU9" si="59">MAX(AR9-AT9,0)</f>
        <v>0</v>
      </c>
      <c r="AV9" s="23" t="str">
        <f>IF(SUMPRODUCT($J$67:AU$67,$J9:AU9)&lt;0.5, "Pending", IF(AU9&lt;0.5, "Complete", "In Progress"))</f>
        <v>Complete</v>
      </c>
      <c r="AW9" s="22">
        <v>0</v>
      </c>
      <c r="AX9" s="22">
        <f t="shared" ref="AX9" si="60">MAX(AU9-AW9,0)</f>
        <v>0</v>
      </c>
      <c r="AY9" s="23" t="str">
        <f>IF(SUMPRODUCT($J$67:AX$67,$J9:AX9)&lt;0.5, "Pending", IF(AX9&lt;0.5, "Complete", "In Progress"))</f>
        <v>Complete</v>
      </c>
      <c r="AZ9" s="22">
        <v>0</v>
      </c>
      <c r="BA9" s="22" t="e">
        <f>MAX(#REF!-AZ9,0)</f>
        <v>#REF!</v>
      </c>
      <c r="BB9" s="23" t="e">
        <f>IF(SUMPRODUCT($J$67:BA$67,$J9:BA9)&lt;0.5, "Pending", IF(BA9&lt;0.5, "Complete", "In Progress"))</f>
        <v>#REF!</v>
      </c>
      <c r="BC9" s="22">
        <v>0</v>
      </c>
      <c r="BD9" s="22" t="e">
        <f t="shared" ref="BD9" si="61">MAX(BA9-BC9,0)</f>
        <v>#REF!</v>
      </c>
      <c r="BE9" s="23" t="e">
        <f>IF(SUMPRODUCT($J$67:BD$67,$J9:BD9)&lt;0.5, "Pending", IF(BD9&lt;0.5, "Complete", "In Progress"))</f>
        <v>#REF!</v>
      </c>
      <c r="BF9" s="22">
        <v>0</v>
      </c>
      <c r="BG9" s="22" t="e">
        <f t="shared" ref="BG9" si="62">MAX(BD9-BF9,0)</f>
        <v>#REF!</v>
      </c>
      <c r="BH9" s="23" t="e">
        <f>IF(SUMPRODUCT($J$67:BG$67,$J9:BG9)&lt;0.5, "Pending", IF(BG9&lt;0.5, "Complete", "In Progress"))</f>
        <v>#REF!</v>
      </c>
      <c r="BI9" s="22">
        <v>0</v>
      </c>
      <c r="BJ9" s="22" t="e">
        <f t="shared" ref="BJ9" si="63">MAX(BG9-BI9,0)</f>
        <v>#REF!</v>
      </c>
      <c r="BK9" s="23" t="e">
        <f>IF(SUMPRODUCT($J$67:BJ$67,$J9:BJ9)&lt;0.5, "Pending", IF(BJ9&lt;0.5, "Complete", "In Progress"))</f>
        <v>#REF!</v>
      </c>
      <c r="BL9" s="22">
        <v>0</v>
      </c>
      <c r="BM9" s="22" t="e">
        <f t="shared" ref="BM9" si="64">MAX(BJ9-BL9,0)</f>
        <v>#REF!</v>
      </c>
      <c r="BN9" s="23" t="e">
        <f>IF(SUMPRODUCT($J$67:BM$67,$J9:BM9)&lt;0.5, "Pending", IF(BM9&lt;0.5, "Complete", "In Progress"))</f>
        <v>#REF!</v>
      </c>
      <c r="BO9" s="22">
        <v>0</v>
      </c>
      <c r="BP9" s="22" t="e">
        <f t="shared" ref="BP9" si="65">MAX(BM9-BO9,0)</f>
        <v>#REF!</v>
      </c>
      <c r="BQ9" s="23" t="e">
        <f>IF(SUMPRODUCT($J$67:BP$67,$J9:BP9)&lt;0.5, "Pending", IF(BP9&lt;0.5, "Complete", "In Progress"))</f>
        <v>#REF!</v>
      </c>
      <c r="BR9" s="22">
        <v>0</v>
      </c>
      <c r="BS9" s="22" t="e">
        <f t="shared" ref="BS9" si="66">MAX(BP9-BR9,0)</f>
        <v>#REF!</v>
      </c>
      <c r="BT9" s="23" t="e">
        <f>IF(SUMPRODUCT($J$67:BS$67,$J9:BS9)&lt;0.5, "Pending", IF(BS9&lt;0.5, "Complete", "In Progress"))</f>
        <v>#REF!</v>
      </c>
      <c r="BU9" s="22">
        <v>0</v>
      </c>
      <c r="BV9" s="22" t="e">
        <f t="shared" ref="BV9" si="67">MAX(BS9-BU9,0)</f>
        <v>#REF!</v>
      </c>
      <c r="BW9" s="23" t="e">
        <f>IF(SUMPRODUCT($J$67:BV$67,$J9:BV9)&lt;0.5, "Pending", IF(BV9&lt;0.5, "Complete", "In Progress"))</f>
        <v>#REF!</v>
      </c>
      <c r="BX9" s="22">
        <v>0</v>
      </c>
      <c r="BY9" s="22" t="e">
        <f t="shared" ref="BY9" si="68">MAX(BV9-BX9,0)</f>
        <v>#REF!</v>
      </c>
      <c r="BZ9" s="23" t="e">
        <f>IF(SUMPRODUCT($J$67:BY$67,$J9:BY9)&lt;0.5, "Pending", IF(BY9&lt;0.5, "Complete", "In Progress"))</f>
        <v>#REF!</v>
      </c>
      <c r="CA9" s="22">
        <v>0</v>
      </c>
      <c r="CB9" s="22" t="e">
        <f t="shared" ref="CB9" si="69">MAX(BY9-CA9,0)</f>
        <v>#REF!</v>
      </c>
      <c r="CC9" s="23" t="e">
        <f>IF(SUMPRODUCT($J$67:CB$67,$J9:CB9)&lt;0.5, "Pending", IF(CB9&lt;0.5, "Complete", "In Progress"))</f>
        <v>#REF!</v>
      </c>
      <c r="CD9" s="24"/>
      <c r="CE9" s="25">
        <f>SUMPRODUCT($H$67:AY$67,$H9:AY9)</f>
        <v>3</v>
      </c>
    </row>
    <row r="10" spans="1:83" x14ac:dyDescent="0.2">
      <c r="A10" s="16" t="s">
        <v>107</v>
      </c>
      <c r="B10" s="16" t="s">
        <v>122</v>
      </c>
      <c r="C10" s="16" t="s">
        <v>171</v>
      </c>
      <c r="D10" s="17">
        <v>8</v>
      </c>
      <c r="E10" s="168" t="s">
        <v>153</v>
      </c>
      <c r="F10" s="18" t="s">
        <v>136</v>
      </c>
      <c r="G10" s="19" t="e">
        <f t="shared" ca="1" si="0"/>
        <v>#REF!</v>
      </c>
      <c r="H10" s="20">
        <v>1</v>
      </c>
      <c r="I10" s="21">
        <v>5</v>
      </c>
      <c r="J10" s="22">
        <v>0</v>
      </c>
      <c r="K10" s="22">
        <f t="shared" si="24"/>
        <v>5</v>
      </c>
      <c r="L10" s="23" t="str">
        <f>IF(SUMPRODUCT($J$67:K$67,$J10:K10)&lt;0.5, "Pending", IF(K10&lt;0.5, "Complete", "In Progress"))</f>
        <v>Pending</v>
      </c>
      <c r="M10" s="22">
        <v>0</v>
      </c>
      <c r="N10" s="22">
        <f t="shared" si="25"/>
        <v>5</v>
      </c>
      <c r="O10" s="23" t="str">
        <f>IF(SUMPRODUCT($J$67:N$67,$J10:N10)&lt;0.5, "Pending", IF(N10&lt;0.5, "Complete", "In Progress"))</f>
        <v>Pending</v>
      </c>
      <c r="P10" s="22">
        <v>0</v>
      </c>
      <c r="Q10" s="22">
        <f t="shared" si="26"/>
        <v>5</v>
      </c>
      <c r="R10" s="23" t="str">
        <f>IF(SUMPRODUCT($J$67:Q$67,$J10:Q10)&lt;0.5, "Pending", IF(Q10&lt;0.5, "Complete", "In Progress"))</f>
        <v>Pending</v>
      </c>
      <c r="S10" s="22">
        <v>0</v>
      </c>
      <c r="T10" s="22">
        <f t="shared" si="27"/>
        <v>5</v>
      </c>
      <c r="U10" s="23" t="str">
        <f>IF(SUMPRODUCT($J$67:T$67,$J10:T10)&lt;0.5, "Pending", IF(T10&lt;0.5, "Complete", "In Progress"))</f>
        <v>Pending</v>
      </c>
      <c r="V10" s="22">
        <v>0</v>
      </c>
      <c r="W10" s="22">
        <f t="shared" si="28"/>
        <v>5</v>
      </c>
      <c r="X10" s="23" t="str">
        <f>IF(SUMPRODUCT($J$67:W$67,$J10:W10)&lt;0.5, "Pending", IF(W10&lt;0.5, "Complete", "In Progress"))</f>
        <v>Pending</v>
      </c>
      <c r="Y10" s="22">
        <v>0</v>
      </c>
      <c r="Z10" s="22">
        <f t="shared" si="29"/>
        <v>5</v>
      </c>
      <c r="AA10" s="23" t="str">
        <f>IF(SUMPRODUCT($J$67:Z$67,$J10:Z10)&lt;0.5, "Pending", IF(Z10&lt;0.5, "Complete", "In Progress"))</f>
        <v>Pending</v>
      </c>
      <c r="AB10" s="22">
        <v>2</v>
      </c>
      <c r="AC10" s="22">
        <f t="shared" si="30"/>
        <v>3</v>
      </c>
      <c r="AD10" s="23" t="str">
        <f>IF(SUMPRODUCT($J$67:AC$67,$J10:AC10)&lt;0.5, "Pending", IF(AC10&lt;0.5, "Complete", "In Progress"))</f>
        <v>In Progress</v>
      </c>
      <c r="AE10" s="22">
        <v>2</v>
      </c>
      <c r="AF10" s="22">
        <f t="shared" si="31"/>
        <v>1</v>
      </c>
      <c r="AG10" s="23" t="str">
        <f>IF(SUMPRODUCT($J$67:AF$67,$J10:AF10)&lt;0.5, "Pending", IF(AF10&lt;0.5, "Complete", "In Progress"))</f>
        <v>In Progress</v>
      </c>
      <c r="AH10" s="22">
        <v>1</v>
      </c>
      <c r="AI10" s="22">
        <f t="shared" si="32"/>
        <v>0</v>
      </c>
      <c r="AJ10" s="23" t="str">
        <f>IF(SUMPRODUCT($J$67:AI$67,$J10:AI10)&lt;0.5, "Pending", IF(AI10&lt;0.5, "Complete", "In Progress"))</f>
        <v>Complete</v>
      </c>
      <c r="AK10" s="22">
        <v>0</v>
      </c>
      <c r="AL10" s="22">
        <f t="shared" si="33"/>
        <v>0</v>
      </c>
      <c r="AM10" s="23" t="str">
        <f>IF(SUMPRODUCT($J$67:AL$67,$J10:AL10)&lt;0.5, "Pending", IF(AL10&lt;0.5, "Complete", "In Progress"))</f>
        <v>Complete</v>
      </c>
      <c r="AN10" s="22">
        <v>0</v>
      </c>
      <c r="AO10" s="22">
        <f t="shared" si="34"/>
        <v>0</v>
      </c>
      <c r="AP10" s="23" t="str">
        <f>IF(SUMPRODUCT($J$67:AO$67,$J10:AO10)&lt;0.5, "Pending", IF(AO10&lt;0.5, "Complete", "In Progress"))</f>
        <v>Complete</v>
      </c>
      <c r="AQ10" s="22">
        <v>0</v>
      </c>
      <c r="AR10" s="22">
        <f t="shared" si="35"/>
        <v>0</v>
      </c>
      <c r="AS10" s="23" t="str">
        <f>IF(SUMPRODUCT($J$67:AR$67,$J10:AR10)&lt;0.5, "Pending", IF(AR10&lt;0.5, "Complete", "In Progress"))</f>
        <v>Complete</v>
      </c>
      <c r="AT10" s="22">
        <v>0</v>
      </c>
      <c r="AU10" s="22">
        <f t="shared" si="36"/>
        <v>0</v>
      </c>
      <c r="AV10" s="23" t="str">
        <f>IF(SUMPRODUCT($J$67:AU$67,$J10:AU10)&lt;0.5, "Pending", IF(AU10&lt;0.5, "Complete", "In Progress"))</f>
        <v>Complete</v>
      </c>
      <c r="AW10" s="22">
        <v>0</v>
      </c>
      <c r="AX10" s="22">
        <f t="shared" si="37"/>
        <v>0</v>
      </c>
      <c r="AY10" s="23" t="str">
        <f>IF(SUMPRODUCT($J$67:AX$67,$J10:AX10)&lt;0.5, "Pending", IF(AX10&lt;0.5, "Complete", "In Progress"))</f>
        <v>Complete</v>
      </c>
      <c r="AZ10" s="22">
        <v>0</v>
      </c>
      <c r="BA10" s="22" t="e">
        <f>MAX(#REF!-AZ10,0)</f>
        <v>#REF!</v>
      </c>
      <c r="BB10" s="23" t="e">
        <f>IF(SUMPRODUCT($J$67:BA$67,$J10:BA10)&lt;0.5,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IF(SUMPRODUCT($J$67:BD$67,$J10:BD10)&lt;0.5,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IF(SUMPRODUCT($J$67:BG$67,$J10:BG10)&lt;0.5,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IF(SUMPRODUCT($J$67:BJ$67,$J10:BJ10)&lt;0.5,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IF(SUMPRODUCT($J$67:BM$67,$J10:BM10)&lt;0.5,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IF(SUMPRODUCT($J$67:BP$67,$J10:BP10)&lt;0.5,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IF(SUMPRODUCT($J$67:BS$67,$J10:BS10)&lt;0.5,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IF(SUMPRODUCT($J$67:BV$67,$J10:BV10)&lt;0.5,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IF(SUMPRODUCT($J$67:BY$67,$J10:BY10)&lt;0.5,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IF(SUMPRODUCT($J$67:CB$67,$J10:CB10)&lt;0.5, "Pending", IF(CB10&lt;0.5, "Complete", "In Progress"))</f>
        <v>#REF!</v>
      </c>
      <c r="CD10" s="24"/>
      <c r="CE10" s="25">
        <f>SUMPRODUCT($H$67:AY$67,$H10:AY10)</f>
        <v>5</v>
      </c>
    </row>
    <row r="11" spans="1:83" x14ac:dyDescent="0.2">
      <c r="A11" s="16" t="s">
        <v>107</v>
      </c>
      <c r="B11" s="16" t="s">
        <v>122</v>
      </c>
      <c r="C11" s="16" t="s">
        <v>171</v>
      </c>
      <c r="D11" s="17">
        <v>9</v>
      </c>
      <c r="E11" s="168" t="s">
        <v>154</v>
      </c>
      <c r="F11" s="18" t="s">
        <v>136</v>
      </c>
      <c r="G11" s="19" t="e">
        <f t="shared" ca="1" si="0"/>
        <v>#REF!</v>
      </c>
      <c r="H11" s="20">
        <v>1</v>
      </c>
      <c r="I11" s="21">
        <v>4</v>
      </c>
      <c r="J11" s="22">
        <v>0</v>
      </c>
      <c r="K11" s="22">
        <f t="shared" si="24"/>
        <v>4</v>
      </c>
      <c r="L11" s="23" t="str">
        <f>IF(SUMPRODUCT($J$67:K$67,$J11:K11)&lt;0.5, "Pending", IF(K11&lt;0.5, "Complete", "In Progress"))</f>
        <v>Pending</v>
      </c>
      <c r="M11" s="22">
        <v>0</v>
      </c>
      <c r="N11" s="22">
        <f t="shared" si="25"/>
        <v>4</v>
      </c>
      <c r="O11" s="23" t="str">
        <f>IF(SUMPRODUCT($J$67:N$67,$J11:N11)&lt;0.5, "Pending", IF(N11&lt;0.5, "Complete", "In Progress"))</f>
        <v>Pending</v>
      </c>
      <c r="P11" s="22">
        <v>0</v>
      </c>
      <c r="Q11" s="22">
        <f t="shared" si="26"/>
        <v>4</v>
      </c>
      <c r="R11" s="23" t="str">
        <f>IF(SUMPRODUCT($J$67:Q$67,$J11:Q11)&lt;0.5, "Pending", IF(Q11&lt;0.5, "Complete", "In Progress"))</f>
        <v>Pending</v>
      </c>
      <c r="S11" s="22">
        <v>0</v>
      </c>
      <c r="T11" s="22">
        <f t="shared" si="27"/>
        <v>4</v>
      </c>
      <c r="U11" s="23" t="str">
        <f>IF(SUMPRODUCT($J$67:T$67,$J11:T11)&lt;0.5, "Pending", IF(T11&lt;0.5, "Complete", "In Progress"))</f>
        <v>Pending</v>
      </c>
      <c r="V11" s="22">
        <v>0</v>
      </c>
      <c r="W11" s="22">
        <f t="shared" si="28"/>
        <v>4</v>
      </c>
      <c r="X11" s="23" t="str">
        <f>IF(SUMPRODUCT($J$67:W$67,$J11:W11)&lt;0.5, "Pending", IF(W11&lt;0.5, "Complete", "In Progress"))</f>
        <v>Pending</v>
      </c>
      <c r="Y11" s="22">
        <v>0</v>
      </c>
      <c r="Z11" s="22">
        <f t="shared" si="29"/>
        <v>4</v>
      </c>
      <c r="AA11" s="23" t="str">
        <f>IF(SUMPRODUCT($J$67:Z$67,$J11:Z11)&lt;0.5, "Pending", IF(Z11&lt;0.5, "Complete", "In Progress"))</f>
        <v>Pending</v>
      </c>
      <c r="AB11" s="22">
        <v>0</v>
      </c>
      <c r="AC11" s="22">
        <f t="shared" si="30"/>
        <v>4</v>
      </c>
      <c r="AD11" s="23" t="str">
        <f>IF(SUMPRODUCT($J$67:AC$67,$J11:AC11)&lt;0.5, "Pending", IF(AC11&lt;0.5, "Complete", "In Progress"))</f>
        <v>Pending</v>
      </c>
      <c r="AE11" s="22">
        <v>0</v>
      </c>
      <c r="AF11" s="22">
        <f t="shared" si="31"/>
        <v>4</v>
      </c>
      <c r="AG11" s="23" t="str">
        <f>IF(SUMPRODUCT($J$67:AF$67,$J11:AF11)&lt;0.5, "Pending", IF(AF11&lt;0.5, "Complete", "In Progress"))</f>
        <v>Pending</v>
      </c>
      <c r="AH11" s="22">
        <v>1</v>
      </c>
      <c r="AI11" s="22">
        <f t="shared" si="32"/>
        <v>3</v>
      </c>
      <c r="AJ11" s="23" t="str">
        <f>IF(SUMPRODUCT($J$67:AI$67,$J11:AI11)&lt;0.5, "Pending", IF(AI11&lt;0.5, "Complete", "In Progress"))</f>
        <v>In Progress</v>
      </c>
      <c r="AK11" s="22">
        <v>3</v>
      </c>
      <c r="AL11" s="22">
        <f t="shared" si="33"/>
        <v>0</v>
      </c>
      <c r="AM11" s="23" t="str">
        <f>IF(SUMPRODUCT($J$67:AL$67,$J11:AL11)&lt;0.5, "Pending", IF(AL11&lt;0.5, "Complete", "In Progress"))</f>
        <v>Complete</v>
      </c>
      <c r="AN11" s="22">
        <v>0</v>
      </c>
      <c r="AO11" s="22">
        <f t="shared" si="34"/>
        <v>0</v>
      </c>
      <c r="AP11" s="23" t="str">
        <f>IF(SUMPRODUCT($J$67:AO$67,$J11:AO11)&lt;0.5, "Pending", IF(AO11&lt;0.5, "Complete", "In Progress"))</f>
        <v>Complete</v>
      </c>
      <c r="AQ11" s="22">
        <v>0</v>
      </c>
      <c r="AR11" s="22">
        <f t="shared" si="35"/>
        <v>0</v>
      </c>
      <c r="AS11" s="23" t="str">
        <f>IF(SUMPRODUCT($J$67:AR$67,$J11:AR11)&lt;0.5, "Pending", IF(AR11&lt;0.5, "Complete", "In Progress"))</f>
        <v>Complete</v>
      </c>
      <c r="AT11" s="22">
        <v>0</v>
      </c>
      <c r="AU11" s="22">
        <f t="shared" si="36"/>
        <v>0</v>
      </c>
      <c r="AV11" s="23" t="str">
        <f>IF(SUMPRODUCT($J$67:AU$67,$J11:AU11)&lt;0.5, "Pending", IF(AU11&lt;0.5, "Complete", "In Progress"))</f>
        <v>Complete</v>
      </c>
      <c r="AW11" s="22">
        <v>0</v>
      </c>
      <c r="AX11" s="22">
        <f t="shared" si="37"/>
        <v>0</v>
      </c>
      <c r="AY11" s="23" t="str">
        <f>IF(SUMPRODUCT($J$67:AX$67,$J11:AX11)&lt;0.5, "Pending", IF(AX11&lt;0.5, "Complete", "In Progress"))</f>
        <v>Complete</v>
      </c>
      <c r="AZ11" s="22">
        <v>0</v>
      </c>
      <c r="BA11" s="22" t="e">
        <f>MAX(#REF!-AZ11,0)</f>
        <v>#REF!</v>
      </c>
      <c r="BB11" s="23" t="e">
        <f>IF(SUMPRODUCT($J$67:BA$67,$J11:BA11)&lt;0.5,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IF(SUMPRODUCT($J$67:BD$67,$J11:BD11)&lt;0.5,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IF(SUMPRODUCT($J$67:BG$67,$J11:BG11)&lt;0.5,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IF(SUMPRODUCT($J$67:BJ$67,$J11:BJ11)&lt;0.5,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IF(SUMPRODUCT($J$67:BM$67,$J11:BM11)&lt;0.5,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IF(SUMPRODUCT($J$67:BP$67,$J11:BP11)&lt;0.5,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IF(SUMPRODUCT($J$67:BS$67,$J11:BS11)&lt;0.5,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IF(SUMPRODUCT($J$67:BV$67,$J11:BV11)&lt;0.5,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IF(SUMPRODUCT($J$67:BY$67,$J11:BY11)&lt;0.5,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IF(SUMPRODUCT($J$67:CB$67,$J11:CB11)&lt;0.5, "Pending", IF(CB11&lt;0.5, "Complete", "In Progress"))</f>
        <v>#REF!</v>
      </c>
      <c r="CD11" s="24"/>
      <c r="CE11" s="25">
        <f>SUMPRODUCT($H$67:AY$67,$H11:AY11)</f>
        <v>4</v>
      </c>
    </row>
    <row r="12" spans="1:83" x14ac:dyDescent="0.2">
      <c r="A12" s="16" t="s">
        <v>107</v>
      </c>
      <c r="B12" s="16" t="s">
        <v>123</v>
      </c>
      <c r="C12" s="16" t="s">
        <v>175</v>
      </c>
      <c r="D12" s="17">
        <v>10</v>
      </c>
      <c r="E12" s="168" t="s">
        <v>158</v>
      </c>
      <c r="F12" s="18" t="s">
        <v>138</v>
      </c>
      <c r="G12" s="19" t="e">
        <f t="shared" ca="1" si="0"/>
        <v>#REF!</v>
      </c>
      <c r="H12" s="20">
        <v>1</v>
      </c>
      <c r="I12" s="21">
        <v>6</v>
      </c>
      <c r="J12" s="22">
        <v>0</v>
      </c>
      <c r="K12" s="22">
        <f t="shared" si="24"/>
        <v>6</v>
      </c>
      <c r="L12" s="23" t="str">
        <f>IF(SUMPRODUCT($J$67:K$67,$J12:K12)&lt;0.5, "Pending", IF(K12&lt;0.5, "Complete", "In Progress"))</f>
        <v>Pending</v>
      </c>
      <c r="M12" s="22">
        <v>0</v>
      </c>
      <c r="N12" s="22">
        <f t="shared" si="25"/>
        <v>6</v>
      </c>
      <c r="O12" s="23" t="str">
        <f>IF(SUMPRODUCT($J$67:N$67,$J12:N12)&lt;0.5, "Pending", IF(N12&lt;0.5, "Complete", "In Progress"))</f>
        <v>Pending</v>
      </c>
      <c r="P12" s="22">
        <v>0</v>
      </c>
      <c r="Q12" s="22">
        <f t="shared" si="26"/>
        <v>6</v>
      </c>
      <c r="R12" s="23" t="str">
        <f>IF(SUMPRODUCT($J$67:Q$67,$J12:Q12)&lt;0.5, "Pending", IF(Q12&lt;0.5, "Complete", "In Progress"))</f>
        <v>Pending</v>
      </c>
      <c r="S12" s="22">
        <v>0</v>
      </c>
      <c r="T12" s="22">
        <f t="shared" si="27"/>
        <v>6</v>
      </c>
      <c r="U12" s="23" t="str">
        <f>IF(SUMPRODUCT($J$67:T$67,$J12:T12)&lt;0.5, "Pending", IF(T12&lt;0.5, "Complete", "In Progress"))</f>
        <v>Pending</v>
      </c>
      <c r="V12" s="22">
        <v>0</v>
      </c>
      <c r="W12" s="22">
        <f t="shared" si="28"/>
        <v>6</v>
      </c>
      <c r="X12" s="23" t="str">
        <f>IF(SUMPRODUCT($J$67:W$67,$J12:W12)&lt;0.5, "Pending", IF(W12&lt;0.5, "Complete", "In Progress"))</f>
        <v>Pending</v>
      </c>
      <c r="Y12" s="22">
        <v>0</v>
      </c>
      <c r="Z12" s="22">
        <f t="shared" si="29"/>
        <v>6</v>
      </c>
      <c r="AA12" s="23" t="str">
        <f>IF(SUMPRODUCT($J$67:Z$67,$J12:Z12)&lt;0.5, "Pending", IF(Z12&lt;0.5, "Complete", "In Progress"))</f>
        <v>Pending</v>
      </c>
      <c r="AB12" s="22">
        <v>0</v>
      </c>
      <c r="AC12" s="22">
        <f t="shared" si="30"/>
        <v>6</v>
      </c>
      <c r="AD12" s="23" t="str">
        <f>IF(SUMPRODUCT($J$67:AC$67,$J12:AC12)&lt;0.5, "Pending", IF(AC12&lt;0.5, "Complete", "In Progress"))</f>
        <v>Pending</v>
      </c>
      <c r="AE12" s="22">
        <v>2</v>
      </c>
      <c r="AF12" s="22">
        <f t="shared" si="31"/>
        <v>4</v>
      </c>
      <c r="AG12" s="23" t="str">
        <f>IF(SUMPRODUCT($J$67:AF$67,$J12:AF12)&lt;0.5, "Pending", IF(AF12&lt;0.5, "Complete", "In Progress"))</f>
        <v>In Progress</v>
      </c>
      <c r="AH12" s="22">
        <v>2</v>
      </c>
      <c r="AI12" s="22">
        <f t="shared" si="32"/>
        <v>2</v>
      </c>
      <c r="AJ12" s="23" t="str">
        <f>IF(SUMPRODUCT($J$67:AI$67,$J12:AI12)&lt;0.5, "Pending", IF(AI12&lt;0.5, "Complete", "In Progress"))</f>
        <v>In Progress</v>
      </c>
      <c r="AK12" s="22">
        <v>2</v>
      </c>
      <c r="AL12" s="22">
        <f t="shared" si="33"/>
        <v>0</v>
      </c>
      <c r="AM12" s="23" t="str">
        <f>IF(SUMPRODUCT($J$67:AL$67,$J12:AL12)&lt;0.5, "Pending", IF(AL12&lt;0.5, "Complete", "In Progress"))</f>
        <v>Complete</v>
      </c>
      <c r="AN12" s="22">
        <v>0</v>
      </c>
      <c r="AO12" s="22">
        <f t="shared" si="34"/>
        <v>0</v>
      </c>
      <c r="AP12" s="23" t="str">
        <f>IF(SUMPRODUCT($J$67:AO$67,$J12:AO12)&lt;0.5, "Pending", IF(AO12&lt;0.5, "Complete", "In Progress"))</f>
        <v>Complete</v>
      </c>
      <c r="AQ12" s="22">
        <v>0</v>
      </c>
      <c r="AR12" s="22">
        <f t="shared" si="35"/>
        <v>0</v>
      </c>
      <c r="AS12" s="23" t="str">
        <f>IF(SUMPRODUCT($J$67:AR$67,$J12:AR12)&lt;0.5, "Pending", IF(AR12&lt;0.5, "Complete", "In Progress"))</f>
        <v>Complete</v>
      </c>
      <c r="AT12" s="22">
        <v>0</v>
      </c>
      <c r="AU12" s="22">
        <f t="shared" si="36"/>
        <v>0</v>
      </c>
      <c r="AV12" s="23" t="str">
        <f>IF(SUMPRODUCT($J$67:AU$67,$J12:AU12)&lt;0.5, "Pending", IF(AU12&lt;0.5, "Complete", "In Progress"))</f>
        <v>Complete</v>
      </c>
      <c r="AW12" s="22">
        <v>0</v>
      </c>
      <c r="AX12" s="22">
        <f t="shared" si="37"/>
        <v>0</v>
      </c>
      <c r="AY12" s="23" t="str">
        <f>IF(SUMPRODUCT($J$67:AX$67,$J12:AX12)&lt;0.5, "Pending", IF(AX12&lt;0.5, "Complete", "In Progress"))</f>
        <v>Complete</v>
      </c>
      <c r="AZ12" s="22">
        <v>0</v>
      </c>
      <c r="BA12" s="22" t="e">
        <f>MAX(#REF!-AZ12,0)</f>
        <v>#REF!</v>
      </c>
      <c r="BB12" s="23" t="e">
        <f>IF(SUMPRODUCT($J$67:BA$67,$J12:BA12)&lt;0.5,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IF(SUMPRODUCT($J$67:BD$67,$J12:BD12)&lt;0.5,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IF(SUMPRODUCT($J$67:BG$67,$J12:BG12)&lt;0.5,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IF(SUMPRODUCT($J$67:BJ$67,$J12:BJ12)&lt;0.5,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IF(SUMPRODUCT($J$67:BM$67,$J12:BM12)&lt;0.5,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IF(SUMPRODUCT($J$67:BP$67,$J12:BP12)&lt;0.5,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IF(SUMPRODUCT($J$67:BS$67,$J12:BS12)&lt;0.5,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IF(SUMPRODUCT($J$67:BV$67,$J12:BV12)&lt;0.5,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IF(SUMPRODUCT($J$67:BY$67,$J12:BY12)&lt;0.5,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IF(SUMPRODUCT($J$67:CB$67,$J12:CB12)&lt;0.5, "Pending", IF(CB12&lt;0.5, "Complete", "In Progress"))</f>
        <v>#REF!</v>
      </c>
      <c r="CD12" s="24"/>
      <c r="CE12" s="25">
        <f>SUMPRODUCT($H$67:AY$67,$H12:AY12)</f>
        <v>6</v>
      </c>
    </row>
    <row r="13" spans="1:83" x14ac:dyDescent="0.2">
      <c r="A13" s="16" t="s">
        <v>108</v>
      </c>
      <c r="B13" s="16" t="s">
        <v>124</v>
      </c>
      <c r="C13" s="16" t="s">
        <v>174</v>
      </c>
      <c r="D13" s="17">
        <v>11</v>
      </c>
      <c r="E13" s="168" t="s">
        <v>172</v>
      </c>
      <c r="F13" s="18" t="s">
        <v>144</v>
      </c>
      <c r="G13" s="19" t="e">
        <f t="shared" ca="1" si="0"/>
        <v>#REF!</v>
      </c>
      <c r="H13" s="20">
        <v>1</v>
      </c>
      <c r="I13" s="21">
        <v>2</v>
      </c>
      <c r="J13" s="22">
        <v>0</v>
      </c>
      <c r="K13" s="22">
        <f t="shared" si="24"/>
        <v>2</v>
      </c>
      <c r="L13" s="23" t="str">
        <f>IF(SUMPRODUCT($J$67:K$67,$J13:K13)&lt;0.5, "Pending", IF(K13&lt;0.5, "Complete", "In Progress"))</f>
        <v>Pending</v>
      </c>
      <c r="M13" s="22">
        <v>0</v>
      </c>
      <c r="N13" s="22">
        <f t="shared" si="25"/>
        <v>2</v>
      </c>
      <c r="O13" s="23" t="str">
        <f>IF(SUMPRODUCT($J$67:N$67,$J13:N13)&lt;0.5, "Pending", IF(N13&lt;0.5, "Complete", "In Progress"))</f>
        <v>Pending</v>
      </c>
      <c r="P13" s="22">
        <v>0</v>
      </c>
      <c r="Q13" s="22">
        <f t="shared" si="26"/>
        <v>2</v>
      </c>
      <c r="R13" s="23" t="str">
        <f>IF(SUMPRODUCT($J$67:Q$67,$J13:Q13)&lt;0.5, "Pending", IF(Q13&lt;0.5, "Complete", "In Progress"))</f>
        <v>Pending</v>
      </c>
      <c r="S13" s="22">
        <v>0</v>
      </c>
      <c r="T13" s="22">
        <f t="shared" si="27"/>
        <v>2</v>
      </c>
      <c r="U13" s="23" t="str">
        <f>IF(SUMPRODUCT($J$67:T$67,$J13:T13)&lt;0.5, "Pending", IF(T13&lt;0.5, "Complete", "In Progress"))</f>
        <v>Pending</v>
      </c>
      <c r="V13" s="22">
        <v>0</v>
      </c>
      <c r="W13" s="22">
        <f t="shared" si="28"/>
        <v>2</v>
      </c>
      <c r="X13" s="23" t="str">
        <f>IF(SUMPRODUCT($J$67:W$67,$J13:W13)&lt;0.5, "Pending", IF(W13&lt;0.5, "Complete", "In Progress"))</f>
        <v>Pending</v>
      </c>
      <c r="Y13" s="22">
        <v>1</v>
      </c>
      <c r="Z13" s="22">
        <f t="shared" si="29"/>
        <v>1</v>
      </c>
      <c r="AA13" s="23" t="str">
        <f>IF(SUMPRODUCT($J$67:Z$67,$J13:Z13)&lt;0.5, "Pending", IF(Z13&lt;0.5, "Complete", "In Progress"))</f>
        <v>In Progress</v>
      </c>
      <c r="AB13" s="22">
        <v>1</v>
      </c>
      <c r="AC13" s="22">
        <f t="shared" si="30"/>
        <v>0</v>
      </c>
      <c r="AD13" s="23" t="str">
        <f>IF(SUMPRODUCT($J$67:AC$67,$J13:AC13)&lt;0.5, "Pending", IF(AC13&lt;0.5, "Complete", "In Progress"))</f>
        <v>Complete</v>
      </c>
      <c r="AE13" s="22">
        <v>0</v>
      </c>
      <c r="AF13" s="22">
        <f t="shared" si="31"/>
        <v>0</v>
      </c>
      <c r="AG13" s="23" t="str">
        <f>IF(SUMPRODUCT($J$67:AF$67,$J13:AF13)&lt;0.5, "Pending", IF(AF13&lt;0.5, "Complete", "In Progress"))</f>
        <v>Complete</v>
      </c>
      <c r="AH13" s="22">
        <v>0</v>
      </c>
      <c r="AI13" s="22">
        <f t="shared" si="32"/>
        <v>0</v>
      </c>
      <c r="AJ13" s="23" t="str">
        <f>IF(SUMPRODUCT($J$67:AI$67,$J13:AI13)&lt;0.5, "Pending", IF(AI13&lt;0.5, "Complete", "In Progress"))</f>
        <v>Complete</v>
      </c>
      <c r="AK13" s="22">
        <v>0</v>
      </c>
      <c r="AL13" s="22">
        <f t="shared" si="33"/>
        <v>0</v>
      </c>
      <c r="AM13" s="23" t="str">
        <f>IF(SUMPRODUCT($J$67:AL$67,$J13:AL13)&lt;0.5, "Pending", IF(AL13&lt;0.5, "Complete", "In Progress"))</f>
        <v>Complete</v>
      </c>
      <c r="AN13" s="22">
        <v>0</v>
      </c>
      <c r="AO13" s="22">
        <f t="shared" si="34"/>
        <v>0</v>
      </c>
      <c r="AP13" s="23" t="str">
        <f>IF(SUMPRODUCT($J$67:AO$67,$J13:AO13)&lt;0.5, "Pending", IF(AO13&lt;0.5, "Complete", "In Progress"))</f>
        <v>Complete</v>
      </c>
      <c r="AQ13" s="22">
        <v>0</v>
      </c>
      <c r="AR13" s="22">
        <f t="shared" si="35"/>
        <v>0</v>
      </c>
      <c r="AS13" s="23" t="str">
        <f>IF(SUMPRODUCT($J$67:AR$67,$J13:AR13)&lt;0.5, "Pending", IF(AR13&lt;0.5, "Complete", "In Progress"))</f>
        <v>Complete</v>
      </c>
      <c r="AT13" s="22">
        <v>0</v>
      </c>
      <c r="AU13" s="22">
        <f t="shared" si="36"/>
        <v>0</v>
      </c>
      <c r="AV13" s="23" t="str">
        <f>IF(SUMPRODUCT($J$67:AU$67,$J13:AU13)&lt;0.5, "Pending", IF(AU13&lt;0.5, "Complete", "In Progress"))</f>
        <v>Complete</v>
      </c>
      <c r="AW13" s="22">
        <v>0</v>
      </c>
      <c r="AX13" s="22">
        <f t="shared" si="37"/>
        <v>0</v>
      </c>
      <c r="AY13" s="23" t="str">
        <f>IF(SUMPRODUCT($J$67:AX$67,$J13:AX13)&lt;0.5, "Pending", IF(AX13&lt;0.5, "Complete", "In Progress"))</f>
        <v>Complete</v>
      </c>
      <c r="AZ13" s="22">
        <v>0</v>
      </c>
      <c r="BA13" s="22" t="e">
        <f>MAX(#REF!-AZ13,0)</f>
        <v>#REF!</v>
      </c>
      <c r="BB13" s="23" t="e">
        <f>IF(SUMPRODUCT($J$67:BA$67,$J13:BA13)&lt;0.5,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IF(SUMPRODUCT($J$67:BD$67,$J13:BD13)&lt;0.5,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IF(SUMPRODUCT($J$67:BG$67,$J13:BG13)&lt;0.5,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IF(SUMPRODUCT($J$67:BJ$67,$J13:BJ13)&lt;0.5,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IF(SUMPRODUCT($J$67:BM$67,$J13:BM13)&lt;0.5,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IF(SUMPRODUCT($J$67:BP$67,$J13:BP13)&lt;0.5,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IF(SUMPRODUCT($J$67:BS$67,$J13:BS13)&lt;0.5,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IF(SUMPRODUCT($J$67:BV$67,$J13:BV13)&lt;0.5,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IF(SUMPRODUCT($J$67:BY$67,$J13:BY13)&lt;0.5,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IF(SUMPRODUCT($J$67:CB$67,$J13:CB13)&lt;0.5, "Pending", IF(CB13&lt;0.5, "Complete", "In Progress"))</f>
        <v>#REF!</v>
      </c>
      <c r="CD13" s="24"/>
      <c r="CE13" s="25">
        <f>SUMPRODUCT($H$67:AY$67,$H13:AY13)</f>
        <v>2</v>
      </c>
    </row>
    <row r="14" spans="1:83" x14ac:dyDescent="0.2">
      <c r="A14" s="16" t="s">
        <v>107</v>
      </c>
      <c r="B14" s="16" t="s">
        <v>123</v>
      </c>
      <c r="C14" s="200" t="s">
        <v>173</v>
      </c>
      <c r="D14" s="17">
        <v>12</v>
      </c>
      <c r="E14" s="168" t="s">
        <v>134</v>
      </c>
      <c r="F14" s="18" t="s">
        <v>148</v>
      </c>
      <c r="G14" s="19" t="e">
        <f t="shared" ca="1" si="0"/>
        <v>#REF!</v>
      </c>
      <c r="H14" s="20">
        <v>1</v>
      </c>
      <c r="I14" s="21">
        <v>5</v>
      </c>
      <c r="J14" s="22">
        <v>0</v>
      </c>
      <c r="K14" s="22">
        <f t="shared" si="24"/>
        <v>5</v>
      </c>
      <c r="L14" s="23" t="str">
        <f>IF(SUMPRODUCT($J$67:K$67,$J14:K14)&lt;0.5, "Pending", IF(K14&lt;0.5, "Complete", "In Progress"))</f>
        <v>Pending</v>
      </c>
      <c r="M14" s="22">
        <v>0</v>
      </c>
      <c r="N14" s="22">
        <f t="shared" si="25"/>
        <v>5</v>
      </c>
      <c r="O14" s="23" t="str">
        <f>IF(SUMPRODUCT($J$67:N$67,$J14:N14)&lt;0.5, "Pending", IF(N14&lt;0.5, "Complete", "In Progress"))</f>
        <v>Pending</v>
      </c>
      <c r="P14" s="22">
        <v>0</v>
      </c>
      <c r="Q14" s="22">
        <f t="shared" si="26"/>
        <v>5</v>
      </c>
      <c r="R14" s="23" t="str">
        <f>IF(SUMPRODUCT($J$67:Q$67,$J14:Q14)&lt;0.5, "Pending", IF(Q14&lt;0.5, "Complete", "In Progress"))</f>
        <v>Pending</v>
      </c>
      <c r="S14" s="22">
        <v>0</v>
      </c>
      <c r="T14" s="22">
        <f t="shared" si="27"/>
        <v>5</v>
      </c>
      <c r="U14" s="23" t="str">
        <f>IF(SUMPRODUCT($J$67:T$67,$J14:T14)&lt;0.5, "Pending", IF(T14&lt;0.5, "Complete", "In Progress"))</f>
        <v>Pending</v>
      </c>
      <c r="V14" s="22">
        <v>0</v>
      </c>
      <c r="W14" s="22">
        <f t="shared" si="28"/>
        <v>5</v>
      </c>
      <c r="X14" s="23" t="str">
        <f>IF(SUMPRODUCT($J$67:W$67,$J14:W14)&lt;0.5, "Pending", IF(W14&lt;0.5, "Complete", "In Progress"))</f>
        <v>Pending</v>
      </c>
      <c r="Y14" s="22">
        <v>0</v>
      </c>
      <c r="Z14" s="22">
        <f t="shared" si="29"/>
        <v>5</v>
      </c>
      <c r="AA14" s="23" t="str">
        <f>IF(SUMPRODUCT($J$67:Z$67,$J14:Z14)&lt;0.5, "Pending", IF(Z14&lt;0.5, "Complete", "In Progress"))</f>
        <v>Pending</v>
      </c>
      <c r="AB14" s="22">
        <v>0</v>
      </c>
      <c r="AC14" s="22">
        <f t="shared" si="30"/>
        <v>5</v>
      </c>
      <c r="AD14" s="23" t="str">
        <f>IF(SUMPRODUCT($J$67:AC$67,$J14:AC14)&lt;0.5, "Pending", IF(AC14&lt;0.5, "Complete", "In Progress"))</f>
        <v>Pending</v>
      </c>
      <c r="AE14" s="22">
        <v>0</v>
      </c>
      <c r="AF14" s="22">
        <f t="shared" si="31"/>
        <v>5</v>
      </c>
      <c r="AG14" s="23" t="str">
        <f>IF(SUMPRODUCT($J$67:AF$67,$J14:AF14)&lt;0.5, "Pending", IF(AF14&lt;0.5, "Complete", "In Progress"))</f>
        <v>Pending</v>
      </c>
      <c r="AH14" s="22">
        <v>2</v>
      </c>
      <c r="AI14" s="22">
        <f t="shared" si="32"/>
        <v>3</v>
      </c>
      <c r="AJ14" s="23" t="str">
        <f>IF(SUMPRODUCT($J$67:AI$67,$J14:AI14)&lt;0.5, "Pending", IF(AI14&lt;0.5, "Complete", "In Progress"))</f>
        <v>In Progress</v>
      </c>
      <c r="AK14" s="22">
        <v>3</v>
      </c>
      <c r="AL14" s="22">
        <f t="shared" si="33"/>
        <v>0</v>
      </c>
      <c r="AM14" s="23" t="str">
        <f>IF(SUMPRODUCT($J$67:AL$67,$J14:AL14)&lt;0.5, "Pending", IF(AL14&lt;0.5, "Complete", "In Progress"))</f>
        <v>Complete</v>
      </c>
      <c r="AN14" s="22">
        <v>0</v>
      </c>
      <c r="AO14" s="22">
        <f t="shared" si="34"/>
        <v>0</v>
      </c>
      <c r="AP14" s="23" t="str">
        <f>IF(SUMPRODUCT($J$67:AO$67,$J14:AO14)&lt;0.5, "Pending", IF(AO14&lt;0.5, "Complete", "In Progress"))</f>
        <v>Complete</v>
      </c>
      <c r="AQ14" s="22">
        <v>0</v>
      </c>
      <c r="AR14" s="22">
        <f t="shared" si="35"/>
        <v>0</v>
      </c>
      <c r="AS14" s="23" t="str">
        <f>IF(SUMPRODUCT($J$67:AR$67,$J14:AR14)&lt;0.5, "Pending", IF(AR14&lt;0.5, "Complete", "In Progress"))</f>
        <v>Complete</v>
      </c>
      <c r="AT14" s="22">
        <v>0</v>
      </c>
      <c r="AU14" s="22">
        <f t="shared" si="36"/>
        <v>0</v>
      </c>
      <c r="AV14" s="23" t="str">
        <f>IF(SUMPRODUCT($J$67:AU$67,$J14:AU14)&lt;0.5, "Pending", IF(AU14&lt;0.5, "Complete", "In Progress"))</f>
        <v>Complete</v>
      </c>
      <c r="AW14" s="22">
        <v>0</v>
      </c>
      <c r="AX14" s="22">
        <f t="shared" si="37"/>
        <v>0</v>
      </c>
      <c r="AY14" s="23" t="str">
        <f>IF(SUMPRODUCT($J$67:AX$67,$J14:AX14)&lt;0.5, "Pending", IF(AX14&lt;0.5, "Complete", "In Progress"))</f>
        <v>Complete</v>
      </c>
      <c r="AZ14" s="22">
        <v>0</v>
      </c>
      <c r="BA14" s="22" t="e">
        <f>MAX(#REF!-AZ14,0)</f>
        <v>#REF!</v>
      </c>
      <c r="BB14" s="23" t="e">
        <f>IF(SUMPRODUCT($J$67:BA$67,$J14:BA14)&lt;0.5,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IF(SUMPRODUCT($J$67:BD$67,$J14:BD14)&lt;0.5,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IF(SUMPRODUCT($J$67:BG$67,$J14:BG14)&lt;0.5,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IF(SUMPRODUCT($J$67:BJ$67,$J14:BJ14)&lt;0.5,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IF(SUMPRODUCT($J$67:BM$67,$J14:BM14)&lt;0.5,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IF(SUMPRODUCT($J$67:BP$67,$J14:BP14)&lt;0.5,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IF(SUMPRODUCT($J$67:BS$67,$J14:BS14)&lt;0.5,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IF(SUMPRODUCT($J$67:BV$67,$J14:BV14)&lt;0.5,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IF(SUMPRODUCT($J$67:BY$67,$J14:BY14)&lt;0.5,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IF(SUMPRODUCT($J$67:CB$67,$J14:CB14)&lt;0.5, "Pending", IF(CB14&lt;0.5, "Complete", "In Progress"))</f>
        <v>#REF!</v>
      </c>
      <c r="CD14" s="24"/>
      <c r="CE14" s="25">
        <f>SUMPRODUCT($H$67:AY$67,$H14:AY14)</f>
        <v>5</v>
      </c>
    </row>
    <row r="15" spans="1:83" x14ac:dyDescent="0.2">
      <c r="A15" s="16" t="s">
        <v>105</v>
      </c>
      <c r="B15" s="16" t="s">
        <v>122</v>
      </c>
      <c r="C15" s="16" t="s">
        <v>173</v>
      </c>
      <c r="D15" s="17">
        <v>15</v>
      </c>
      <c r="E15" s="168" t="s">
        <v>159</v>
      </c>
      <c r="F15" s="18" t="s">
        <v>138</v>
      </c>
      <c r="G15" s="19" t="e">
        <f t="shared" ca="1" si="0"/>
        <v>#REF!</v>
      </c>
      <c r="H15" s="20">
        <v>1</v>
      </c>
      <c r="I15" s="21">
        <v>4</v>
      </c>
      <c r="J15" s="22">
        <v>2</v>
      </c>
      <c r="K15" s="22">
        <f t="shared" ref="K15" si="70">MAX(I15-J15, 0)</f>
        <v>2</v>
      </c>
      <c r="L15" s="23" t="str">
        <f>IF(SUMPRODUCT($J$67:K$67,$J15:K15)&lt;0.5, "Pending", IF(K15&lt;0.5, "Complete", "In Progress"))</f>
        <v>In Progress</v>
      </c>
      <c r="M15" s="22">
        <v>2</v>
      </c>
      <c r="N15" s="22">
        <f t="shared" ref="N15" si="71">MAX(K15-M15,0)</f>
        <v>0</v>
      </c>
      <c r="O15" s="23" t="str">
        <f>IF(SUMPRODUCT($J$67:N$67,$J15:N15)&lt;0.5, "Pending", IF(N15&lt;0.5, "Complete", "In Progress"))</f>
        <v>Complete</v>
      </c>
      <c r="P15" s="22">
        <v>0</v>
      </c>
      <c r="Q15" s="22">
        <f t="shared" ref="Q15" si="72">MAX(N15-P15,0)</f>
        <v>0</v>
      </c>
      <c r="R15" s="23" t="str">
        <f>IF(SUMPRODUCT($J$67:Q$67,$J15:Q15)&lt;0.5, "Pending", IF(Q15&lt;0.5, "Complete", "In Progress"))</f>
        <v>Complete</v>
      </c>
      <c r="S15" s="22">
        <v>0</v>
      </c>
      <c r="T15" s="22">
        <f t="shared" ref="T15" si="73">MAX(Q15-S15,0)</f>
        <v>0</v>
      </c>
      <c r="U15" s="23" t="str">
        <f>IF(SUMPRODUCT($J$67:T$67,$J15:T15)&lt;0.5, "Pending", IF(T15&lt;0.5, "Complete", "In Progress"))</f>
        <v>Complete</v>
      </c>
      <c r="V15" s="22">
        <v>0</v>
      </c>
      <c r="W15" s="22">
        <f t="shared" ref="W15" si="74">MAX(T15-V15,0)</f>
        <v>0</v>
      </c>
      <c r="X15" s="23" t="str">
        <f>IF(SUMPRODUCT($J$67:W$67,$J15:W15)&lt;0.5, "Pending", IF(W15&lt;0.5, "Complete", "In Progress"))</f>
        <v>Complete</v>
      </c>
      <c r="Y15" s="22">
        <v>0</v>
      </c>
      <c r="Z15" s="22">
        <f t="shared" ref="Z15" si="75">MAX(W15-Y15,0)</f>
        <v>0</v>
      </c>
      <c r="AA15" s="23" t="str">
        <f>IF(SUMPRODUCT($J$67:Z$67,$J15:Z15)&lt;0.5, "Pending", IF(Z15&lt;0.5, "Complete", "In Progress"))</f>
        <v>Complete</v>
      </c>
      <c r="AB15" s="22">
        <v>0</v>
      </c>
      <c r="AC15" s="22">
        <f t="shared" ref="AC15" si="76">MAX(Z15-AB15,0)</f>
        <v>0</v>
      </c>
      <c r="AD15" s="23" t="str">
        <f>IF(SUMPRODUCT($J$67:AC$67,$J15:AC15)&lt;0.5, "Pending", IF(AC15&lt;0.5, "Complete", "In Progress"))</f>
        <v>Complete</v>
      </c>
      <c r="AE15" s="22">
        <v>0</v>
      </c>
      <c r="AF15" s="22">
        <f t="shared" ref="AF15" si="77">MAX(AC15-AE15,0)</f>
        <v>0</v>
      </c>
      <c r="AG15" s="23" t="str">
        <f>IF(SUMPRODUCT($J$67:AF$67,$J15:AF15)&lt;0.5, "Pending", IF(AF15&lt;0.5, "Complete", "In Progress"))</f>
        <v>Complete</v>
      </c>
      <c r="AH15" s="22">
        <v>0</v>
      </c>
      <c r="AI15" s="22">
        <f t="shared" ref="AI15" si="78">MAX(AF15-AH15,0)</f>
        <v>0</v>
      </c>
      <c r="AJ15" s="23" t="str">
        <f>IF(SUMPRODUCT($J$67:AI$67,$J15:AI15)&lt;0.5, "Pending", IF(AI15&lt;0.5, "Complete", "In Progress"))</f>
        <v>Complete</v>
      </c>
      <c r="AK15" s="22">
        <v>0</v>
      </c>
      <c r="AL15" s="22">
        <f t="shared" ref="AL15" si="79">MAX(AI15-AK15,0)</f>
        <v>0</v>
      </c>
      <c r="AM15" s="23" t="str">
        <f>IF(SUMPRODUCT($J$67:AL$67,$J15:AL15)&lt;0.5, "Pending", IF(AL15&lt;0.5, "Complete", "In Progress"))</f>
        <v>Complete</v>
      </c>
      <c r="AN15" s="22">
        <v>0</v>
      </c>
      <c r="AO15" s="22">
        <f t="shared" ref="AO15" si="80">MAX(AL15-AN15,0)</f>
        <v>0</v>
      </c>
      <c r="AP15" s="23" t="str">
        <f>IF(SUMPRODUCT($J$67:AO$67,$J15:AO15)&lt;0.5, "Pending", IF(AO15&lt;0.5, "Complete", "In Progress"))</f>
        <v>Complete</v>
      </c>
      <c r="AQ15" s="22">
        <v>0</v>
      </c>
      <c r="AR15" s="22">
        <f t="shared" ref="AR15" si="81">MAX(AO15-AQ15,0)</f>
        <v>0</v>
      </c>
      <c r="AS15" s="23" t="str">
        <f>IF(SUMPRODUCT($J$67:AR$67,$J15:AR15)&lt;0.5, "Pending", IF(AR15&lt;0.5, "Complete", "In Progress"))</f>
        <v>Complete</v>
      </c>
      <c r="AT15" s="22">
        <v>0</v>
      </c>
      <c r="AU15" s="22">
        <f t="shared" ref="AU15" si="82">MAX(AR15-AT15,0)</f>
        <v>0</v>
      </c>
      <c r="AV15" s="23" t="str">
        <f>IF(SUMPRODUCT($J$67:AU$67,$J15:AU15)&lt;0.5, "Pending", IF(AU15&lt;0.5, "Complete", "In Progress"))</f>
        <v>Complete</v>
      </c>
      <c r="AW15" s="22">
        <v>0</v>
      </c>
      <c r="AX15" s="22">
        <f t="shared" ref="AX15" si="83">MAX(AU15-AW15,0)</f>
        <v>0</v>
      </c>
      <c r="AY15" s="23" t="str">
        <f>IF(SUMPRODUCT($J$67:AX$67,$J15:AX15)&lt;0.5, "Pending", IF(AX15&lt;0.5, "Complete", "In Progress"))</f>
        <v>Complete</v>
      </c>
      <c r="AZ15" s="22">
        <v>0</v>
      </c>
      <c r="BA15" s="22" t="e">
        <f>MAX(#REF!-AZ15,0)</f>
        <v>#REF!</v>
      </c>
      <c r="BB15" s="23" t="e">
        <f>IF(SUMPRODUCT($J$67:BA$67,$J15:BA15)&lt;0.5, "Pending", IF(BA15&lt;0.5, "Complete", "In Progress"))</f>
        <v>#REF!</v>
      </c>
      <c r="BC15" s="22">
        <v>0</v>
      </c>
      <c r="BD15" s="22" t="e">
        <f t="shared" ref="BD15" si="84">MAX(BA15-BC15,0)</f>
        <v>#REF!</v>
      </c>
      <c r="BE15" s="23" t="e">
        <f>IF(SUMPRODUCT($J$67:BD$67,$J15:BD15)&lt;0.5, "Pending", IF(BD15&lt;0.5, "Complete", "In Progress"))</f>
        <v>#REF!</v>
      </c>
      <c r="BF15" s="22">
        <v>0</v>
      </c>
      <c r="BG15" s="22" t="e">
        <f t="shared" ref="BG15" si="85">MAX(BD15-BF15,0)</f>
        <v>#REF!</v>
      </c>
      <c r="BH15" s="23" t="e">
        <f>IF(SUMPRODUCT($J$67:BG$67,$J15:BG15)&lt;0.5, "Pending", IF(BG15&lt;0.5, "Complete", "In Progress"))</f>
        <v>#REF!</v>
      </c>
      <c r="BI15" s="22">
        <v>0</v>
      </c>
      <c r="BJ15" s="22" t="e">
        <f t="shared" ref="BJ15" si="86">MAX(BG15-BI15,0)</f>
        <v>#REF!</v>
      </c>
      <c r="BK15" s="23" t="e">
        <f>IF(SUMPRODUCT($J$67:BJ$67,$J15:BJ15)&lt;0.5, "Pending", IF(BJ15&lt;0.5, "Complete", "In Progress"))</f>
        <v>#REF!</v>
      </c>
      <c r="BL15" s="22">
        <v>0</v>
      </c>
      <c r="BM15" s="22" t="e">
        <f t="shared" ref="BM15" si="87">MAX(BJ15-BL15,0)</f>
        <v>#REF!</v>
      </c>
      <c r="BN15" s="23" t="e">
        <f>IF(SUMPRODUCT($J$67:BM$67,$J15:BM15)&lt;0.5, "Pending", IF(BM15&lt;0.5, "Complete", "In Progress"))</f>
        <v>#REF!</v>
      </c>
      <c r="BO15" s="22">
        <v>0</v>
      </c>
      <c r="BP15" s="22" t="e">
        <f t="shared" ref="BP15" si="88">MAX(BM15-BO15,0)</f>
        <v>#REF!</v>
      </c>
      <c r="BQ15" s="23" t="e">
        <f>IF(SUMPRODUCT($J$67:BP$67,$J15:BP15)&lt;0.5, "Pending", IF(BP15&lt;0.5, "Complete", "In Progress"))</f>
        <v>#REF!</v>
      </c>
      <c r="BR15" s="22">
        <v>0</v>
      </c>
      <c r="BS15" s="22" t="e">
        <f t="shared" ref="BS15" si="89">MAX(BP15-BR15,0)</f>
        <v>#REF!</v>
      </c>
      <c r="BT15" s="23" t="e">
        <f>IF(SUMPRODUCT($J$67:BS$67,$J15:BS15)&lt;0.5, "Pending", IF(BS15&lt;0.5, "Complete", "In Progress"))</f>
        <v>#REF!</v>
      </c>
      <c r="BU15" s="22">
        <v>0</v>
      </c>
      <c r="BV15" s="22" t="e">
        <f t="shared" ref="BV15" si="90">MAX(BS15-BU15,0)</f>
        <v>#REF!</v>
      </c>
      <c r="BW15" s="23" t="e">
        <f>IF(SUMPRODUCT($J$67:BV$67,$J15:BV15)&lt;0.5, "Pending", IF(BV15&lt;0.5, "Complete", "In Progress"))</f>
        <v>#REF!</v>
      </c>
      <c r="BX15" s="22">
        <v>0</v>
      </c>
      <c r="BY15" s="22" t="e">
        <f t="shared" ref="BY15" si="91">MAX(BV15-BX15,0)</f>
        <v>#REF!</v>
      </c>
      <c r="BZ15" s="23" t="e">
        <f>IF(SUMPRODUCT($J$67:BY$67,$J15:BY15)&lt;0.5, "Pending", IF(BY15&lt;0.5, "Complete", "In Progress"))</f>
        <v>#REF!</v>
      </c>
      <c r="CA15" s="22">
        <v>0</v>
      </c>
      <c r="CB15" s="22" t="e">
        <f t="shared" ref="CB15" si="92">MAX(BY15-CA15,0)</f>
        <v>#REF!</v>
      </c>
      <c r="CC15" s="23" t="e">
        <f>IF(SUMPRODUCT($J$67:CB$67,$J15:CB15)&lt;0.5, "Pending", IF(CB15&lt;0.5, "Complete", "In Progress"))</f>
        <v>#REF!</v>
      </c>
      <c r="CD15" s="24"/>
      <c r="CE15" s="25">
        <f>SUMPRODUCT($H$67:AY$67,$H15:AY15)</f>
        <v>4</v>
      </c>
    </row>
    <row r="16" spans="1:83" x14ac:dyDescent="0.2">
      <c r="A16" s="16" t="s">
        <v>105</v>
      </c>
      <c r="B16" s="16" t="s">
        <v>122</v>
      </c>
      <c r="C16" s="200" t="s">
        <v>173</v>
      </c>
      <c r="D16" s="17">
        <v>16</v>
      </c>
      <c r="E16" s="168" t="s">
        <v>160</v>
      </c>
      <c r="F16" s="18" t="s">
        <v>142</v>
      </c>
      <c r="G16" s="19" t="e">
        <f t="shared" ca="1" si="0"/>
        <v>#REF!</v>
      </c>
      <c r="H16" s="20">
        <v>1</v>
      </c>
      <c r="I16" s="21">
        <v>4</v>
      </c>
      <c r="J16" s="22">
        <v>2</v>
      </c>
      <c r="K16" s="22">
        <f t="shared" ref="K16" si="93">MAX(I16-J16, 0)</f>
        <v>2</v>
      </c>
      <c r="L16" s="23" t="str">
        <f>IF(SUMPRODUCT($J$67:K$67,$J16:K16)&lt;0.5, "Pending", IF(K16&lt;0.5, "Complete", "In Progress"))</f>
        <v>In Progress</v>
      </c>
      <c r="M16" s="22">
        <v>2</v>
      </c>
      <c r="N16" s="22">
        <f t="shared" ref="N16" si="94">MAX(K16-M16,0)</f>
        <v>0</v>
      </c>
      <c r="O16" s="23" t="str">
        <f>IF(SUMPRODUCT($J$67:N$67,$J16:N16)&lt;0.5, "Pending", IF(N16&lt;0.5, "Complete", "In Progress"))</f>
        <v>Complete</v>
      </c>
      <c r="P16" s="22">
        <v>0</v>
      </c>
      <c r="Q16" s="22">
        <f t="shared" ref="Q16" si="95">MAX(N16-P16,0)</f>
        <v>0</v>
      </c>
      <c r="R16" s="23" t="str">
        <f>IF(SUMPRODUCT($J$67:Q$67,$J16:Q16)&lt;0.5, "Pending", IF(Q16&lt;0.5, "Complete", "In Progress"))</f>
        <v>Complete</v>
      </c>
      <c r="S16" s="22">
        <v>0</v>
      </c>
      <c r="T16" s="22">
        <f t="shared" ref="T16" si="96">MAX(Q16-S16,0)</f>
        <v>0</v>
      </c>
      <c r="U16" s="23" t="str">
        <f>IF(SUMPRODUCT($J$67:T$67,$J16:T16)&lt;0.5, "Pending", IF(T16&lt;0.5, "Complete", "In Progress"))</f>
        <v>Complete</v>
      </c>
      <c r="V16" s="22">
        <v>0</v>
      </c>
      <c r="W16" s="22">
        <f t="shared" ref="W16" si="97">MAX(T16-V16,0)</f>
        <v>0</v>
      </c>
      <c r="X16" s="23" t="str">
        <f>IF(SUMPRODUCT($J$67:W$67,$J16:W16)&lt;0.5, "Pending", IF(W16&lt;0.5, "Complete", "In Progress"))</f>
        <v>Complete</v>
      </c>
      <c r="Y16" s="22">
        <v>0</v>
      </c>
      <c r="Z16" s="22">
        <f t="shared" ref="Z16" si="98">MAX(W16-Y16,0)</f>
        <v>0</v>
      </c>
      <c r="AA16" s="23" t="str">
        <f>IF(SUMPRODUCT($J$67:Z$67,$J16:Z16)&lt;0.5, "Pending", IF(Z16&lt;0.5, "Complete", "In Progress"))</f>
        <v>Complete</v>
      </c>
      <c r="AB16" s="22">
        <v>0</v>
      </c>
      <c r="AC16" s="22">
        <f t="shared" ref="AC16" si="99">MAX(Z16-AB16,0)</f>
        <v>0</v>
      </c>
      <c r="AD16" s="23" t="str">
        <f>IF(SUMPRODUCT($J$67:AC$67,$J16:AC16)&lt;0.5, "Pending", IF(AC16&lt;0.5, "Complete", "In Progress"))</f>
        <v>Complete</v>
      </c>
      <c r="AE16" s="22">
        <v>0</v>
      </c>
      <c r="AF16" s="22">
        <f t="shared" ref="AF16" si="100">MAX(AC16-AE16,0)</f>
        <v>0</v>
      </c>
      <c r="AG16" s="23" t="str">
        <f>IF(SUMPRODUCT($J$67:AF$67,$J16:AF16)&lt;0.5, "Pending", IF(AF16&lt;0.5, "Complete", "In Progress"))</f>
        <v>Complete</v>
      </c>
      <c r="AH16" s="22">
        <v>0</v>
      </c>
      <c r="AI16" s="22">
        <f t="shared" ref="AI16" si="101">MAX(AF16-AH16,0)</f>
        <v>0</v>
      </c>
      <c r="AJ16" s="23" t="str">
        <f>IF(SUMPRODUCT($J$67:AI$67,$J16:AI16)&lt;0.5, "Pending", IF(AI16&lt;0.5, "Complete", "In Progress"))</f>
        <v>Complete</v>
      </c>
      <c r="AK16" s="22">
        <v>0</v>
      </c>
      <c r="AL16" s="22">
        <f t="shared" ref="AL16" si="102">MAX(AI16-AK16,0)</f>
        <v>0</v>
      </c>
      <c r="AM16" s="23" t="str">
        <f>IF(SUMPRODUCT($J$67:AL$67,$J16:AL16)&lt;0.5, "Pending", IF(AL16&lt;0.5, "Complete", "In Progress"))</f>
        <v>Complete</v>
      </c>
      <c r="AN16" s="22">
        <v>0</v>
      </c>
      <c r="AO16" s="22">
        <f t="shared" ref="AO16" si="103">MAX(AL16-AN16,0)</f>
        <v>0</v>
      </c>
      <c r="AP16" s="23" t="str">
        <f>IF(SUMPRODUCT($J$67:AO$67,$J16:AO16)&lt;0.5, "Pending", IF(AO16&lt;0.5, "Complete", "In Progress"))</f>
        <v>Complete</v>
      </c>
      <c r="AQ16" s="22">
        <v>0</v>
      </c>
      <c r="AR16" s="22">
        <f t="shared" ref="AR16" si="104">MAX(AO16-AQ16,0)</f>
        <v>0</v>
      </c>
      <c r="AS16" s="23" t="str">
        <f>IF(SUMPRODUCT($J$67:AR$67,$J16:AR16)&lt;0.5, "Pending", IF(AR16&lt;0.5, "Complete", "In Progress"))</f>
        <v>Complete</v>
      </c>
      <c r="AT16" s="22">
        <v>0</v>
      </c>
      <c r="AU16" s="22">
        <f t="shared" ref="AU16" si="105">MAX(AR16-AT16,0)</f>
        <v>0</v>
      </c>
      <c r="AV16" s="23" t="str">
        <f>IF(SUMPRODUCT($J$67:AU$67,$J16:AU16)&lt;0.5, "Pending", IF(AU16&lt;0.5, "Complete", "In Progress"))</f>
        <v>Complete</v>
      </c>
      <c r="AW16" s="22">
        <v>0</v>
      </c>
      <c r="AX16" s="22">
        <f t="shared" ref="AX16" si="106">MAX(AU16-AW16,0)</f>
        <v>0</v>
      </c>
      <c r="AY16" s="23" t="str">
        <f>IF(SUMPRODUCT($J$67:AX$67,$J16:AX16)&lt;0.5, "Pending", IF(AX16&lt;0.5, "Complete", "In Progress"))</f>
        <v>Complete</v>
      </c>
      <c r="AZ16" s="22">
        <v>0</v>
      </c>
      <c r="BA16" s="22" t="e">
        <f>MAX(#REF!-AZ16,0)</f>
        <v>#REF!</v>
      </c>
      <c r="BB16" s="23" t="e">
        <f>IF(SUMPRODUCT($J$67:BA$67,$J16:BA16)&lt;0.5, "Pending", IF(BA16&lt;0.5, "Complete", "In Progress"))</f>
        <v>#REF!</v>
      </c>
      <c r="BC16" s="22">
        <v>0</v>
      </c>
      <c r="BD16" s="22" t="e">
        <f t="shared" ref="BD16" si="107">MAX(BA16-BC16,0)</f>
        <v>#REF!</v>
      </c>
      <c r="BE16" s="23" t="e">
        <f>IF(SUMPRODUCT($J$67:BD$67,$J16:BD16)&lt;0.5, "Pending", IF(BD16&lt;0.5, "Complete", "In Progress"))</f>
        <v>#REF!</v>
      </c>
      <c r="BF16" s="22">
        <v>0</v>
      </c>
      <c r="BG16" s="22" t="e">
        <f t="shared" ref="BG16" si="108">MAX(BD16-BF16,0)</f>
        <v>#REF!</v>
      </c>
      <c r="BH16" s="23" t="e">
        <f>IF(SUMPRODUCT($J$67:BG$67,$J16:BG16)&lt;0.5, "Pending", IF(BG16&lt;0.5, "Complete", "In Progress"))</f>
        <v>#REF!</v>
      </c>
      <c r="BI16" s="22">
        <v>0</v>
      </c>
      <c r="BJ16" s="22" t="e">
        <f t="shared" ref="BJ16" si="109">MAX(BG16-BI16,0)</f>
        <v>#REF!</v>
      </c>
      <c r="BK16" s="23" t="e">
        <f>IF(SUMPRODUCT($J$67:BJ$67,$J16:BJ16)&lt;0.5, "Pending", IF(BJ16&lt;0.5, "Complete", "In Progress"))</f>
        <v>#REF!</v>
      </c>
      <c r="BL16" s="22">
        <v>0</v>
      </c>
      <c r="BM16" s="22" t="e">
        <f t="shared" ref="BM16" si="110">MAX(BJ16-BL16,0)</f>
        <v>#REF!</v>
      </c>
      <c r="BN16" s="23" t="e">
        <f>IF(SUMPRODUCT($J$67:BM$67,$J16:BM16)&lt;0.5, "Pending", IF(BM16&lt;0.5, "Complete", "In Progress"))</f>
        <v>#REF!</v>
      </c>
      <c r="BO16" s="22">
        <v>0</v>
      </c>
      <c r="BP16" s="22" t="e">
        <f t="shared" ref="BP16" si="111">MAX(BM16-BO16,0)</f>
        <v>#REF!</v>
      </c>
      <c r="BQ16" s="23" t="e">
        <f>IF(SUMPRODUCT($J$67:BP$67,$J16:BP16)&lt;0.5, "Pending", IF(BP16&lt;0.5, "Complete", "In Progress"))</f>
        <v>#REF!</v>
      </c>
      <c r="BR16" s="22">
        <v>0</v>
      </c>
      <c r="BS16" s="22" t="e">
        <f t="shared" ref="BS16" si="112">MAX(BP16-BR16,0)</f>
        <v>#REF!</v>
      </c>
      <c r="BT16" s="23" t="e">
        <f>IF(SUMPRODUCT($J$67:BS$67,$J16:BS16)&lt;0.5, "Pending", IF(BS16&lt;0.5, "Complete", "In Progress"))</f>
        <v>#REF!</v>
      </c>
      <c r="BU16" s="22">
        <v>0</v>
      </c>
      <c r="BV16" s="22" t="e">
        <f t="shared" ref="BV16" si="113">MAX(BS16-BU16,0)</f>
        <v>#REF!</v>
      </c>
      <c r="BW16" s="23" t="e">
        <f>IF(SUMPRODUCT($J$67:BV$67,$J16:BV16)&lt;0.5, "Pending", IF(BV16&lt;0.5, "Complete", "In Progress"))</f>
        <v>#REF!</v>
      </c>
      <c r="BX16" s="22">
        <v>0</v>
      </c>
      <c r="BY16" s="22" t="e">
        <f t="shared" ref="BY16" si="114">MAX(BV16-BX16,0)</f>
        <v>#REF!</v>
      </c>
      <c r="BZ16" s="23" t="e">
        <f>IF(SUMPRODUCT($J$67:BY$67,$J16:BY16)&lt;0.5, "Pending", IF(BY16&lt;0.5, "Complete", "In Progress"))</f>
        <v>#REF!</v>
      </c>
      <c r="CA16" s="22">
        <v>0</v>
      </c>
      <c r="CB16" s="22" t="e">
        <f t="shared" ref="CB16" si="115">MAX(BY16-CA16,0)</f>
        <v>#REF!</v>
      </c>
      <c r="CC16" s="23" t="e">
        <f>IF(SUMPRODUCT($J$67:CB$67,$J16:CB16)&lt;0.5, "Pending", IF(CB16&lt;0.5, "Complete", "In Progress"))</f>
        <v>#REF!</v>
      </c>
      <c r="CD16" s="24"/>
      <c r="CE16" s="25">
        <f>SUMPRODUCT($H$67:AY$67,$H16:AY16)</f>
        <v>4</v>
      </c>
    </row>
    <row r="17" spans="1:83" ht="14.25" x14ac:dyDescent="0.2">
      <c r="A17" s="16" t="s">
        <v>107</v>
      </c>
      <c r="B17" s="16" t="s">
        <v>117</v>
      </c>
      <c r="C17" s="177" t="s">
        <v>167</v>
      </c>
      <c r="D17" s="17">
        <v>17</v>
      </c>
      <c r="E17" s="168" t="s">
        <v>155</v>
      </c>
      <c r="F17" s="18" t="s">
        <v>135</v>
      </c>
      <c r="G17" s="19" t="e">
        <f t="shared" ca="1" si="0"/>
        <v>#REF!</v>
      </c>
      <c r="H17" s="20">
        <v>1</v>
      </c>
      <c r="I17" s="21">
        <v>4</v>
      </c>
      <c r="J17" s="22">
        <v>2</v>
      </c>
      <c r="K17" s="22">
        <f t="shared" si="24"/>
        <v>2</v>
      </c>
      <c r="L17" s="23" t="str">
        <f>IF(SUMPRODUCT($J$67:K$67,$J17:K17)&lt;0.5, "Pending", IF(K17&lt;0.5, "Complete", "In Progress"))</f>
        <v>In Progress</v>
      </c>
      <c r="M17" s="22">
        <v>2</v>
      </c>
      <c r="N17" s="22">
        <f t="shared" si="25"/>
        <v>0</v>
      </c>
      <c r="O17" s="23" t="str">
        <f>IF(SUMPRODUCT($J$67:N$67,$J17:N17)&lt;0.5, "Pending", IF(N17&lt;0.5, "Complete", "In Progress"))</f>
        <v>Complete</v>
      </c>
      <c r="P17" s="22">
        <v>0</v>
      </c>
      <c r="Q17" s="22">
        <f t="shared" si="26"/>
        <v>0</v>
      </c>
      <c r="R17" s="23" t="str">
        <f>IF(SUMPRODUCT($J$67:Q$67,$J17:Q17)&lt;0.5, "Pending", IF(Q17&lt;0.5, "Complete", "In Progress"))</f>
        <v>Complete</v>
      </c>
      <c r="S17" s="22">
        <v>0</v>
      </c>
      <c r="T17" s="22">
        <f t="shared" si="27"/>
        <v>0</v>
      </c>
      <c r="U17" s="23" t="str">
        <f>IF(SUMPRODUCT($J$67:T$67,$J17:T17)&lt;0.5, "Pending", IF(T17&lt;0.5, "Complete", "In Progress"))</f>
        <v>Complete</v>
      </c>
      <c r="V17" s="22">
        <v>0</v>
      </c>
      <c r="W17" s="22">
        <f t="shared" si="28"/>
        <v>0</v>
      </c>
      <c r="X17" s="23" t="str">
        <f>IF(SUMPRODUCT($J$67:W$67,$J17:W17)&lt;0.5, "Pending", IF(W17&lt;0.5, "Complete", "In Progress"))</f>
        <v>Complete</v>
      </c>
      <c r="Y17" s="22">
        <v>0</v>
      </c>
      <c r="Z17" s="22">
        <f t="shared" si="29"/>
        <v>0</v>
      </c>
      <c r="AA17" s="23" t="str">
        <f>IF(SUMPRODUCT($J$67:Z$67,$J17:Z17)&lt;0.5, "Pending", IF(Z17&lt;0.5, "Complete", "In Progress"))</f>
        <v>Complete</v>
      </c>
      <c r="AB17" s="22">
        <v>0</v>
      </c>
      <c r="AC17" s="22">
        <f t="shared" si="30"/>
        <v>0</v>
      </c>
      <c r="AD17" s="23" t="str">
        <f>IF(SUMPRODUCT($J$67:AC$67,$J17:AC17)&lt;0.5, "Pending", IF(AC17&lt;0.5, "Complete", "In Progress"))</f>
        <v>Complete</v>
      </c>
      <c r="AE17" s="22">
        <v>0</v>
      </c>
      <c r="AF17" s="22">
        <f t="shared" si="31"/>
        <v>0</v>
      </c>
      <c r="AG17" s="23" t="str">
        <f>IF(SUMPRODUCT($J$67:AF$67,$J17:AF17)&lt;0.5, "Pending", IF(AF17&lt;0.5, "Complete", "In Progress"))</f>
        <v>Complete</v>
      </c>
      <c r="AH17" s="22">
        <v>0</v>
      </c>
      <c r="AI17" s="22">
        <f t="shared" si="32"/>
        <v>0</v>
      </c>
      <c r="AJ17" s="23" t="str">
        <f>IF(SUMPRODUCT($J$67:AI$67,$J17:AI17)&lt;0.5, "Pending", IF(AI17&lt;0.5, "Complete", "In Progress"))</f>
        <v>Complete</v>
      </c>
      <c r="AK17" s="22">
        <v>0</v>
      </c>
      <c r="AL17" s="22">
        <f t="shared" si="33"/>
        <v>0</v>
      </c>
      <c r="AM17" s="23" t="str">
        <f>IF(SUMPRODUCT($J$67:AL$67,$J17:AL17)&lt;0.5, "Pending", IF(AL17&lt;0.5, "Complete", "In Progress"))</f>
        <v>Complete</v>
      </c>
      <c r="AN17" s="22">
        <v>0</v>
      </c>
      <c r="AO17" s="22">
        <f t="shared" si="34"/>
        <v>0</v>
      </c>
      <c r="AP17" s="23" t="str">
        <f>IF(SUMPRODUCT($J$67:AO$67,$J17:AO17)&lt;0.5, "Pending", IF(AO17&lt;0.5, "Complete", "In Progress"))</f>
        <v>Complete</v>
      </c>
      <c r="AQ17" s="22">
        <v>0</v>
      </c>
      <c r="AR17" s="22">
        <f t="shared" si="35"/>
        <v>0</v>
      </c>
      <c r="AS17" s="23" t="str">
        <f>IF(SUMPRODUCT($J$67:AR$67,$J17:AR17)&lt;0.5, "Pending", IF(AR17&lt;0.5, "Complete", "In Progress"))</f>
        <v>Complete</v>
      </c>
      <c r="AT17" s="22">
        <v>0</v>
      </c>
      <c r="AU17" s="22">
        <f t="shared" si="36"/>
        <v>0</v>
      </c>
      <c r="AV17" s="23" t="str">
        <f>IF(SUMPRODUCT($J$67:AU$67,$J17:AU17)&lt;0.5, "Pending", IF(AU17&lt;0.5, "Complete", "In Progress"))</f>
        <v>Complete</v>
      </c>
      <c r="AW17" s="22">
        <v>0</v>
      </c>
      <c r="AX17" s="22">
        <f t="shared" si="37"/>
        <v>0</v>
      </c>
      <c r="AY17" s="23" t="str">
        <f>IF(SUMPRODUCT($J$67:AX$67,$J17:AX17)&lt;0.5, "Pending", IF(AX17&lt;0.5, "Complete", "In Progress"))</f>
        <v>Complete</v>
      </c>
      <c r="AZ17" s="22">
        <v>0</v>
      </c>
      <c r="BA17" s="22" t="e">
        <f>MAX(#REF!-AZ17,0)</f>
        <v>#REF!</v>
      </c>
      <c r="BB17" s="23" t="e">
        <f>IF(SUMPRODUCT($J$67:BA$67,$J17:BA17)&lt;0.5,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IF(SUMPRODUCT($J$67:BD$67,$J17:BD17)&lt;0.5,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IF(SUMPRODUCT($J$67:BG$67,$J17:BG17)&lt;0.5,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IF(SUMPRODUCT($J$67:BJ$67,$J17:BJ17)&lt;0.5,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IF(SUMPRODUCT($J$67:BM$67,$J17:BM17)&lt;0.5,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IF(SUMPRODUCT($J$67:BP$67,$J17:BP17)&lt;0.5,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IF(SUMPRODUCT($J$67:BS$67,$J17:BS17)&lt;0.5,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IF(SUMPRODUCT($J$67:BV$67,$J17:BV17)&lt;0.5,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IF(SUMPRODUCT($J$67:BY$67,$J17:BY17)&lt;0.5,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IF(SUMPRODUCT($J$67:CB$67,$J17:CB17)&lt;0.5, "Pending", IF(CB17&lt;0.5, "Complete", "In Progress"))</f>
        <v>#REF!</v>
      </c>
      <c r="CD17" s="24"/>
      <c r="CE17" s="25">
        <f>SUMPRODUCT($H$67:AY$67,$H17:AY17)</f>
        <v>4</v>
      </c>
    </row>
    <row r="18" spans="1:83" x14ac:dyDescent="0.2">
      <c r="A18" s="16" t="s">
        <v>107</v>
      </c>
      <c r="B18" s="16" t="s">
        <v>117</v>
      </c>
      <c r="C18" s="200" t="s">
        <v>169</v>
      </c>
      <c r="D18" s="17">
        <v>18</v>
      </c>
      <c r="E18" s="168" t="s">
        <v>155</v>
      </c>
      <c r="F18" s="18" t="s">
        <v>140</v>
      </c>
      <c r="G18" s="19" t="e">
        <f t="shared" ca="1" si="0"/>
        <v>#REF!</v>
      </c>
      <c r="H18" s="20">
        <v>1</v>
      </c>
      <c r="I18" s="21">
        <v>3</v>
      </c>
      <c r="J18" s="22">
        <v>2</v>
      </c>
      <c r="K18" s="22">
        <f t="shared" ref="K18" si="116">MAX(I18-J18, 0)</f>
        <v>1</v>
      </c>
      <c r="L18" s="23" t="str">
        <f>IF(SUMPRODUCT($J$67:K$67,$J18:K18)&lt;0.5, "Pending", IF(K18&lt;0.5, "Complete", "In Progress"))</f>
        <v>In Progress</v>
      </c>
      <c r="M18" s="22">
        <v>1</v>
      </c>
      <c r="N18" s="22">
        <f t="shared" ref="N18" si="117">MAX(K18-M18,0)</f>
        <v>0</v>
      </c>
      <c r="O18" s="23" t="str">
        <f>IF(SUMPRODUCT($J$67:N$67,$J18:N18)&lt;0.5, "Pending", IF(N18&lt;0.5, "Complete", "In Progress"))</f>
        <v>Complete</v>
      </c>
      <c r="P18" s="22">
        <v>0</v>
      </c>
      <c r="Q18" s="22">
        <f t="shared" ref="Q18" si="118">MAX(N18-P18,0)</f>
        <v>0</v>
      </c>
      <c r="R18" s="23" t="str">
        <f>IF(SUMPRODUCT($J$67:Q$67,$J18:Q18)&lt;0.5, "Pending", IF(Q18&lt;0.5, "Complete", "In Progress"))</f>
        <v>Complete</v>
      </c>
      <c r="S18" s="22">
        <v>0</v>
      </c>
      <c r="T18" s="22">
        <f t="shared" ref="T18" si="119">MAX(Q18-S18,0)</f>
        <v>0</v>
      </c>
      <c r="U18" s="23" t="str">
        <f>IF(SUMPRODUCT($J$67:T$67,$J18:T18)&lt;0.5, "Pending", IF(T18&lt;0.5, "Complete", "In Progress"))</f>
        <v>Complete</v>
      </c>
      <c r="V18" s="22">
        <v>0</v>
      </c>
      <c r="W18" s="22">
        <f t="shared" ref="W18" si="120">MAX(T18-V18,0)</f>
        <v>0</v>
      </c>
      <c r="X18" s="23" t="str">
        <f>IF(SUMPRODUCT($J$67:W$67,$J18:W18)&lt;0.5, "Pending", IF(W18&lt;0.5, "Complete", "In Progress"))</f>
        <v>Complete</v>
      </c>
      <c r="Y18" s="22">
        <v>0</v>
      </c>
      <c r="Z18" s="22">
        <f t="shared" ref="Z18" si="121">MAX(W18-Y18,0)</f>
        <v>0</v>
      </c>
      <c r="AA18" s="23" t="str">
        <f>IF(SUMPRODUCT($J$67:Z$67,$J18:Z18)&lt;0.5, "Pending", IF(Z18&lt;0.5, "Complete", "In Progress"))</f>
        <v>Complete</v>
      </c>
      <c r="AB18" s="22">
        <v>0</v>
      </c>
      <c r="AC18" s="22">
        <f t="shared" ref="AC18" si="122">MAX(Z18-AB18,0)</f>
        <v>0</v>
      </c>
      <c r="AD18" s="23" t="str">
        <f>IF(SUMPRODUCT($J$67:AC$67,$J18:AC18)&lt;0.5, "Pending", IF(AC18&lt;0.5, "Complete", "In Progress"))</f>
        <v>Complete</v>
      </c>
      <c r="AE18" s="22">
        <v>0</v>
      </c>
      <c r="AF18" s="22">
        <f t="shared" ref="AF18" si="123">MAX(AC18-AE18,0)</f>
        <v>0</v>
      </c>
      <c r="AG18" s="23" t="str">
        <f>IF(SUMPRODUCT($J$67:AF$67,$J18:AF18)&lt;0.5, "Pending", IF(AF18&lt;0.5, "Complete", "In Progress"))</f>
        <v>Complete</v>
      </c>
      <c r="AH18" s="22">
        <v>0</v>
      </c>
      <c r="AI18" s="22">
        <f t="shared" ref="AI18" si="124">MAX(AF18-AH18,0)</f>
        <v>0</v>
      </c>
      <c r="AJ18" s="23" t="str">
        <f>IF(SUMPRODUCT($J$67:AI$67,$J18:AI18)&lt;0.5, "Pending", IF(AI18&lt;0.5, "Complete", "In Progress"))</f>
        <v>Complete</v>
      </c>
      <c r="AK18" s="22">
        <v>0</v>
      </c>
      <c r="AL18" s="22">
        <f t="shared" ref="AL18" si="125">MAX(AI18-AK18,0)</f>
        <v>0</v>
      </c>
      <c r="AM18" s="23" t="str">
        <f>IF(SUMPRODUCT($J$67:AL$67,$J18:AL18)&lt;0.5, "Pending", IF(AL18&lt;0.5, "Complete", "In Progress"))</f>
        <v>Complete</v>
      </c>
      <c r="AN18" s="22">
        <v>0</v>
      </c>
      <c r="AO18" s="22">
        <f t="shared" ref="AO18" si="126">MAX(AL18-AN18,0)</f>
        <v>0</v>
      </c>
      <c r="AP18" s="23" t="str">
        <f>IF(SUMPRODUCT($J$67:AO$67,$J18:AO18)&lt;0.5, "Pending", IF(AO18&lt;0.5, "Complete", "In Progress"))</f>
        <v>Complete</v>
      </c>
      <c r="AQ18" s="22">
        <v>0</v>
      </c>
      <c r="AR18" s="22">
        <f t="shared" ref="AR18" si="127">MAX(AO18-AQ18,0)</f>
        <v>0</v>
      </c>
      <c r="AS18" s="23" t="str">
        <f>IF(SUMPRODUCT($J$67:AR$67,$J18:AR18)&lt;0.5, "Pending", IF(AR18&lt;0.5, "Complete", "In Progress"))</f>
        <v>Complete</v>
      </c>
      <c r="AT18" s="22">
        <v>0</v>
      </c>
      <c r="AU18" s="22">
        <f t="shared" ref="AU18" si="128">MAX(AR18-AT18,0)</f>
        <v>0</v>
      </c>
      <c r="AV18" s="23" t="str">
        <f>IF(SUMPRODUCT($J$67:AU$67,$J18:AU18)&lt;0.5, "Pending", IF(AU18&lt;0.5, "Complete", "In Progress"))</f>
        <v>Complete</v>
      </c>
      <c r="AW18" s="22">
        <v>0</v>
      </c>
      <c r="AX18" s="22">
        <f t="shared" ref="AX18" si="129">MAX(AU18-AW18,0)</f>
        <v>0</v>
      </c>
      <c r="AY18" s="23" t="str">
        <f>IF(SUMPRODUCT($J$67:AX$67,$J18:AX18)&lt;0.5, "Pending", IF(AX18&lt;0.5, "Complete", "In Progress"))</f>
        <v>Complete</v>
      </c>
      <c r="AZ18" s="22">
        <v>0</v>
      </c>
      <c r="BA18" s="22" t="e">
        <f>MAX(#REF!-AZ18,0)</f>
        <v>#REF!</v>
      </c>
      <c r="BB18" s="23" t="e">
        <f>IF(SUMPRODUCT($J$67:BA$67,$J18:BA18)&lt;0.5, "Pending", IF(BA18&lt;0.5, "Complete", "In Progress"))</f>
        <v>#REF!</v>
      </c>
      <c r="BC18" s="22">
        <v>0</v>
      </c>
      <c r="BD18" s="22" t="e">
        <f t="shared" ref="BD18" si="130">MAX(BA18-BC18,0)</f>
        <v>#REF!</v>
      </c>
      <c r="BE18" s="23" t="e">
        <f>IF(SUMPRODUCT($J$67:BD$67,$J18:BD18)&lt;0.5, "Pending", IF(BD18&lt;0.5, "Complete", "In Progress"))</f>
        <v>#REF!</v>
      </c>
      <c r="BF18" s="22">
        <v>0</v>
      </c>
      <c r="BG18" s="22" t="e">
        <f t="shared" ref="BG18" si="131">MAX(BD18-BF18,0)</f>
        <v>#REF!</v>
      </c>
      <c r="BH18" s="23" t="e">
        <f>IF(SUMPRODUCT($J$67:BG$67,$J18:BG18)&lt;0.5, "Pending", IF(BG18&lt;0.5, "Complete", "In Progress"))</f>
        <v>#REF!</v>
      </c>
      <c r="BI18" s="22">
        <v>0</v>
      </c>
      <c r="BJ18" s="22" t="e">
        <f t="shared" ref="BJ18" si="132">MAX(BG18-BI18,0)</f>
        <v>#REF!</v>
      </c>
      <c r="BK18" s="23" t="e">
        <f>IF(SUMPRODUCT($J$67:BJ$67,$J18:BJ18)&lt;0.5, "Pending", IF(BJ18&lt;0.5, "Complete", "In Progress"))</f>
        <v>#REF!</v>
      </c>
      <c r="BL18" s="22">
        <v>0</v>
      </c>
      <c r="BM18" s="22" t="e">
        <f t="shared" ref="BM18" si="133">MAX(BJ18-BL18,0)</f>
        <v>#REF!</v>
      </c>
      <c r="BN18" s="23" t="e">
        <f>IF(SUMPRODUCT($J$67:BM$67,$J18:BM18)&lt;0.5, "Pending", IF(BM18&lt;0.5, "Complete", "In Progress"))</f>
        <v>#REF!</v>
      </c>
      <c r="BO18" s="22">
        <v>0</v>
      </c>
      <c r="BP18" s="22" t="e">
        <f t="shared" ref="BP18" si="134">MAX(BM18-BO18,0)</f>
        <v>#REF!</v>
      </c>
      <c r="BQ18" s="23" t="e">
        <f>IF(SUMPRODUCT($J$67:BP$67,$J18:BP18)&lt;0.5, "Pending", IF(BP18&lt;0.5, "Complete", "In Progress"))</f>
        <v>#REF!</v>
      </c>
      <c r="BR18" s="22">
        <v>0</v>
      </c>
      <c r="BS18" s="22" t="e">
        <f t="shared" ref="BS18" si="135">MAX(BP18-BR18,0)</f>
        <v>#REF!</v>
      </c>
      <c r="BT18" s="23" t="e">
        <f>IF(SUMPRODUCT($J$67:BS$67,$J18:BS18)&lt;0.5, "Pending", IF(BS18&lt;0.5, "Complete", "In Progress"))</f>
        <v>#REF!</v>
      </c>
      <c r="BU18" s="22">
        <v>0</v>
      </c>
      <c r="BV18" s="22" t="e">
        <f t="shared" ref="BV18" si="136">MAX(BS18-BU18,0)</f>
        <v>#REF!</v>
      </c>
      <c r="BW18" s="23" t="e">
        <f>IF(SUMPRODUCT($J$67:BV$67,$J18:BV18)&lt;0.5, "Pending", IF(BV18&lt;0.5, "Complete", "In Progress"))</f>
        <v>#REF!</v>
      </c>
      <c r="BX18" s="22">
        <v>0</v>
      </c>
      <c r="BY18" s="22" t="e">
        <f t="shared" ref="BY18" si="137">MAX(BV18-BX18,0)</f>
        <v>#REF!</v>
      </c>
      <c r="BZ18" s="23" t="e">
        <f>IF(SUMPRODUCT($J$67:BY$67,$J18:BY18)&lt;0.5, "Pending", IF(BY18&lt;0.5, "Complete", "In Progress"))</f>
        <v>#REF!</v>
      </c>
      <c r="CA18" s="22">
        <v>0</v>
      </c>
      <c r="CB18" s="22" t="e">
        <f t="shared" ref="CB18" si="138">MAX(BY18-CA18,0)</f>
        <v>#REF!</v>
      </c>
      <c r="CC18" s="23" t="e">
        <f>IF(SUMPRODUCT($J$67:CB$67,$J18:CB18)&lt;0.5, "Pending", IF(CB18&lt;0.5, "Complete", "In Progress"))</f>
        <v>#REF!</v>
      </c>
      <c r="CD18" s="24"/>
      <c r="CE18" s="25">
        <f>SUMPRODUCT($H$67:AY$67,$H18:AY18)</f>
        <v>3</v>
      </c>
    </row>
    <row r="19" spans="1:83" x14ac:dyDescent="0.2">
      <c r="A19" s="16" t="s">
        <v>107</v>
      </c>
      <c r="B19" s="16" t="s">
        <v>117</v>
      </c>
      <c r="C19" s="16" t="s">
        <v>171</v>
      </c>
      <c r="D19" s="17">
        <v>19</v>
      </c>
      <c r="E19" s="168" t="s">
        <v>155</v>
      </c>
      <c r="F19" s="18" t="s">
        <v>136</v>
      </c>
      <c r="G19" s="19" t="e">
        <f t="shared" ca="1" si="0"/>
        <v>#REF!</v>
      </c>
      <c r="H19" s="20">
        <v>1</v>
      </c>
      <c r="I19" s="21">
        <v>4</v>
      </c>
      <c r="J19" s="22">
        <v>2</v>
      </c>
      <c r="K19" s="22">
        <f t="shared" si="24"/>
        <v>2</v>
      </c>
      <c r="L19" s="23" t="str">
        <f>IF(SUMPRODUCT($J$67:K$67,$J19:K19)&lt;0.5, "Pending", IF(K19&lt;0.5, "Complete", "In Progress"))</f>
        <v>In Progress</v>
      </c>
      <c r="M19" s="22">
        <v>2</v>
      </c>
      <c r="N19" s="22">
        <f t="shared" si="25"/>
        <v>0</v>
      </c>
      <c r="O19" s="23" t="str">
        <f>IF(SUMPRODUCT($J$67:N$67,$J19:N19)&lt;0.5, "Pending", IF(N19&lt;0.5, "Complete", "In Progress"))</f>
        <v>Complete</v>
      </c>
      <c r="P19" s="22">
        <v>0</v>
      </c>
      <c r="Q19" s="22">
        <f t="shared" si="26"/>
        <v>0</v>
      </c>
      <c r="R19" s="23" t="str">
        <f>IF(SUMPRODUCT($J$67:Q$67,$J19:Q19)&lt;0.5, "Pending", IF(Q19&lt;0.5, "Complete", "In Progress"))</f>
        <v>Complete</v>
      </c>
      <c r="S19" s="22">
        <v>0</v>
      </c>
      <c r="T19" s="22">
        <f t="shared" si="27"/>
        <v>0</v>
      </c>
      <c r="U19" s="23" t="str">
        <f>IF(SUMPRODUCT($J$67:T$67,$J19:T19)&lt;0.5, "Pending", IF(T19&lt;0.5, "Complete", "In Progress"))</f>
        <v>Complete</v>
      </c>
      <c r="V19" s="22">
        <v>0</v>
      </c>
      <c r="W19" s="22">
        <f t="shared" si="28"/>
        <v>0</v>
      </c>
      <c r="X19" s="23" t="str">
        <f>IF(SUMPRODUCT($J$67:W$67,$J19:W19)&lt;0.5, "Pending", IF(W19&lt;0.5, "Complete", "In Progress"))</f>
        <v>Complete</v>
      </c>
      <c r="Y19" s="22">
        <v>0</v>
      </c>
      <c r="Z19" s="22">
        <f t="shared" si="29"/>
        <v>0</v>
      </c>
      <c r="AA19" s="23" t="str">
        <f>IF(SUMPRODUCT($J$67:Z$67,$J19:Z19)&lt;0.5, "Pending", IF(Z19&lt;0.5, "Complete", "In Progress"))</f>
        <v>Complete</v>
      </c>
      <c r="AB19" s="22">
        <v>0</v>
      </c>
      <c r="AC19" s="22">
        <f t="shared" si="30"/>
        <v>0</v>
      </c>
      <c r="AD19" s="23" t="str">
        <f>IF(SUMPRODUCT($J$67:AC$67,$J19:AC19)&lt;0.5, "Pending", IF(AC19&lt;0.5, "Complete", "In Progress"))</f>
        <v>Complete</v>
      </c>
      <c r="AE19" s="22">
        <v>0</v>
      </c>
      <c r="AF19" s="22">
        <f t="shared" si="31"/>
        <v>0</v>
      </c>
      <c r="AG19" s="23" t="str">
        <f>IF(SUMPRODUCT($J$67:AF$67,$J19:AF19)&lt;0.5, "Pending", IF(AF19&lt;0.5, "Complete", "In Progress"))</f>
        <v>Complete</v>
      </c>
      <c r="AH19" s="22">
        <v>0</v>
      </c>
      <c r="AI19" s="22">
        <f t="shared" si="32"/>
        <v>0</v>
      </c>
      <c r="AJ19" s="23" t="str">
        <f>IF(SUMPRODUCT($J$67:AI$67,$J19:AI19)&lt;0.5, "Pending", IF(AI19&lt;0.5, "Complete", "In Progress"))</f>
        <v>Complete</v>
      </c>
      <c r="AK19" s="22">
        <v>0</v>
      </c>
      <c r="AL19" s="22">
        <f t="shared" si="33"/>
        <v>0</v>
      </c>
      <c r="AM19" s="23" t="str">
        <f>IF(SUMPRODUCT($J$67:AL$67,$J19:AL19)&lt;0.5, "Pending", IF(AL19&lt;0.5, "Complete", "In Progress"))</f>
        <v>Complete</v>
      </c>
      <c r="AN19" s="22">
        <v>0</v>
      </c>
      <c r="AO19" s="22">
        <f t="shared" si="34"/>
        <v>0</v>
      </c>
      <c r="AP19" s="23" t="str">
        <f>IF(SUMPRODUCT($J$67:AO$67,$J19:AO19)&lt;0.5, "Pending", IF(AO19&lt;0.5, "Complete", "In Progress"))</f>
        <v>Complete</v>
      </c>
      <c r="AQ19" s="22">
        <v>0</v>
      </c>
      <c r="AR19" s="22">
        <f t="shared" si="35"/>
        <v>0</v>
      </c>
      <c r="AS19" s="23" t="str">
        <f>IF(SUMPRODUCT($J$67:AR$67,$J19:AR19)&lt;0.5, "Pending", IF(AR19&lt;0.5, "Complete", "In Progress"))</f>
        <v>Complete</v>
      </c>
      <c r="AT19" s="22">
        <v>0</v>
      </c>
      <c r="AU19" s="22">
        <f t="shared" si="36"/>
        <v>0</v>
      </c>
      <c r="AV19" s="23" t="str">
        <f>IF(SUMPRODUCT($J$67:AU$67,$J19:AU19)&lt;0.5, "Pending", IF(AU19&lt;0.5, "Complete", "In Progress"))</f>
        <v>Complete</v>
      </c>
      <c r="AW19" s="22">
        <v>0</v>
      </c>
      <c r="AX19" s="22">
        <f t="shared" si="37"/>
        <v>0</v>
      </c>
      <c r="AY19" s="23" t="str">
        <f>IF(SUMPRODUCT($J$67:AX$67,$J19:AX19)&lt;0.5, "Pending", IF(AX19&lt;0.5, "Complete", "In Progress"))</f>
        <v>Complete</v>
      </c>
      <c r="AZ19" s="22">
        <v>0</v>
      </c>
      <c r="BA19" s="22" t="e">
        <f>MAX(#REF!-AZ19,0)</f>
        <v>#REF!</v>
      </c>
      <c r="BB19" s="23" t="e">
        <f>IF(SUMPRODUCT($J$67:BA$67,$J19:BA19)&lt;0.5,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IF(SUMPRODUCT($J$67:BD$67,$J19:BD19)&lt;0.5,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IF(SUMPRODUCT($J$67:BG$67,$J19:BG19)&lt;0.5,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IF(SUMPRODUCT($J$67:BJ$67,$J19:BJ19)&lt;0.5,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IF(SUMPRODUCT($J$67:BM$67,$J19:BM19)&lt;0.5,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IF(SUMPRODUCT($J$67:BP$67,$J19:BP19)&lt;0.5,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IF(SUMPRODUCT($J$67:BS$67,$J19:BS19)&lt;0.5,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IF(SUMPRODUCT($J$67:BV$67,$J19:BV19)&lt;0.5,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IF(SUMPRODUCT($J$67:BY$67,$J19:BY19)&lt;0.5,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IF(SUMPRODUCT($J$67:CB$67,$J19:CB19)&lt;0.5, "Pending", IF(CB19&lt;0.5, "Complete", "In Progress"))</f>
        <v>#REF!</v>
      </c>
      <c r="CD19" s="24"/>
      <c r="CE19" s="25">
        <f>SUMPRODUCT($H$67:AY$67,$H19:AY19)</f>
        <v>4</v>
      </c>
    </row>
    <row r="20" spans="1:83" x14ac:dyDescent="0.2">
      <c r="A20" s="16" t="s">
        <v>108</v>
      </c>
      <c r="B20" s="16" t="s">
        <v>124</v>
      </c>
      <c r="C20" s="200" t="s">
        <v>173</v>
      </c>
      <c r="D20" s="17">
        <v>20</v>
      </c>
      <c r="E20" s="168" t="s">
        <v>161</v>
      </c>
      <c r="F20" s="18" t="s">
        <v>144</v>
      </c>
      <c r="G20" s="19" t="e">
        <f t="shared" ca="1" si="0"/>
        <v>#REF!</v>
      </c>
      <c r="H20" s="20">
        <v>1</v>
      </c>
      <c r="I20" s="21">
        <v>4</v>
      </c>
      <c r="J20" s="22">
        <v>2</v>
      </c>
      <c r="K20" s="22">
        <f t="shared" ref="K20" si="139">MAX(I20-J20, 0)</f>
        <v>2</v>
      </c>
      <c r="L20" s="23" t="str">
        <f>IF(SUMPRODUCT($J$67:K$67,$J20:K20)&lt;0.5, "Pending", IF(K20&lt;0.5, "Complete", "In Progress"))</f>
        <v>In Progress</v>
      </c>
      <c r="M20" s="22">
        <v>2</v>
      </c>
      <c r="N20" s="22">
        <f t="shared" ref="N20" si="140">MAX(K20-M20,0)</f>
        <v>0</v>
      </c>
      <c r="O20" s="23" t="str">
        <f>IF(SUMPRODUCT($J$67:N$67,$J20:N20)&lt;0.5, "Pending", IF(N20&lt;0.5, "Complete", "In Progress"))</f>
        <v>Complete</v>
      </c>
      <c r="P20" s="22">
        <v>0</v>
      </c>
      <c r="Q20" s="22">
        <f t="shared" ref="Q20" si="141">MAX(N20-P20,0)</f>
        <v>0</v>
      </c>
      <c r="R20" s="23" t="str">
        <f>IF(SUMPRODUCT($J$67:Q$67,$J20:Q20)&lt;0.5, "Pending", IF(Q20&lt;0.5, "Complete", "In Progress"))</f>
        <v>Complete</v>
      </c>
      <c r="S20" s="22">
        <v>0</v>
      </c>
      <c r="T20" s="22">
        <f t="shared" ref="T20" si="142">MAX(Q20-S20,0)</f>
        <v>0</v>
      </c>
      <c r="U20" s="23" t="str">
        <f>IF(SUMPRODUCT($J$67:T$67,$J20:T20)&lt;0.5, "Pending", IF(T20&lt;0.5, "Complete", "In Progress"))</f>
        <v>Complete</v>
      </c>
      <c r="V20" s="22">
        <v>0</v>
      </c>
      <c r="W20" s="22">
        <f t="shared" ref="W20" si="143">MAX(T20-V20,0)</f>
        <v>0</v>
      </c>
      <c r="X20" s="23" t="str">
        <f>IF(SUMPRODUCT($J$67:W$67,$J20:W20)&lt;0.5, "Pending", IF(W20&lt;0.5, "Complete", "In Progress"))</f>
        <v>Complete</v>
      </c>
      <c r="Y20" s="22">
        <v>0</v>
      </c>
      <c r="Z20" s="22">
        <f t="shared" ref="Z20" si="144">MAX(W20-Y20,0)</f>
        <v>0</v>
      </c>
      <c r="AA20" s="23" t="str">
        <f>IF(SUMPRODUCT($J$67:Z$67,$J20:Z20)&lt;0.5, "Pending", IF(Z20&lt;0.5, "Complete", "In Progress"))</f>
        <v>Complete</v>
      </c>
      <c r="AB20" s="22">
        <v>0</v>
      </c>
      <c r="AC20" s="22">
        <f t="shared" ref="AC20" si="145">MAX(Z20-AB20,0)</f>
        <v>0</v>
      </c>
      <c r="AD20" s="23" t="str">
        <f>IF(SUMPRODUCT($J$67:AC$67,$J20:AC20)&lt;0.5, "Pending", IF(AC20&lt;0.5, "Complete", "In Progress"))</f>
        <v>Complete</v>
      </c>
      <c r="AE20" s="22">
        <v>0</v>
      </c>
      <c r="AF20" s="22">
        <f t="shared" ref="AF20" si="146">MAX(AC20-AE20,0)</f>
        <v>0</v>
      </c>
      <c r="AG20" s="23" t="str">
        <f>IF(SUMPRODUCT($J$67:AF$67,$J20:AF20)&lt;0.5, "Pending", IF(AF20&lt;0.5, "Complete", "In Progress"))</f>
        <v>Complete</v>
      </c>
      <c r="AH20" s="22">
        <v>0</v>
      </c>
      <c r="AI20" s="22">
        <f t="shared" ref="AI20" si="147">MAX(AF20-AH20,0)</f>
        <v>0</v>
      </c>
      <c r="AJ20" s="23" t="str">
        <f>IF(SUMPRODUCT($J$67:AI$67,$J20:AI20)&lt;0.5, "Pending", IF(AI20&lt;0.5, "Complete", "In Progress"))</f>
        <v>Complete</v>
      </c>
      <c r="AK20" s="22">
        <v>0</v>
      </c>
      <c r="AL20" s="22">
        <f t="shared" ref="AL20" si="148">MAX(AI20-AK20,0)</f>
        <v>0</v>
      </c>
      <c r="AM20" s="23" t="str">
        <f>IF(SUMPRODUCT($J$67:AL$67,$J20:AL20)&lt;0.5, "Pending", IF(AL20&lt;0.5, "Complete", "In Progress"))</f>
        <v>Complete</v>
      </c>
      <c r="AN20" s="22">
        <v>0</v>
      </c>
      <c r="AO20" s="22">
        <f t="shared" ref="AO20" si="149">MAX(AL20-AN20,0)</f>
        <v>0</v>
      </c>
      <c r="AP20" s="23" t="str">
        <f>IF(SUMPRODUCT($J$67:AO$67,$J20:AO20)&lt;0.5, "Pending", IF(AO20&lt;0.5, "Complete", "In Progress"))</f>
        <v>Complete</v>
      </c>
      <c r="AQ20" s="22">
        <v>0</v>
      </c>
      <c r="AR20" s="22">
        <f t="shared" ref="AR20" si="150">MAX(AO20-AQ20,0)</f>
        <v>0</v>
      </c>
      <c r="AS20" s="23" t="str">
        <f>IF(SUMPRODUCT($J$67:AR$67,$J20:AR20)&lt;0.5, "Pending", IF(AR20&lt;0.5, "Complete", "In Progress"))</f>
        <v>Complete</v>
      </c>
      <c r="AT20" s="22">
        <v>0</v>
      </c>
      <c r="AU20" s="22">
        <f t="shared" ref="AU20" si="151">MAX(AR20-AT20,0)</f>
        <v>0</v>
      </c>
      <c r="AV20" s="23" t="str">
        <f>IF(SUMPRODUCT($J$67:AU$67,$J20:AU20)&lt;0.5, "Pending", IF(AU20&lt;0.5, "Complete", "In Progress"))</f>
        <v>Complete</v>
      </c>
      <c r="AW20" s="22">
        <v>0</v>
      </c>
      <c r="AX20" s="22">
        <f t="shared" ref="AX20" si="152">MAX(AU20-AW20,0)</f>
        <v>0</v>
      </c>
      <c r="AY20" s="23" t="str">
        <f>IF(SUMPRODUCT($J$67:AX$67,$J20:AX20)&lt;0.5, "Pending", IF(AX20&lt;0.5, "Complete", "In Progress"))</f>
        <v>Complete</v>
      </c>
      <c r="AZ20" s="22">
        <v>0</v>
      </c>
      <c r="BA20" s="22" t="e">
        <f>MAX(#REF!-AZ20,0)</f>
        <v>#REF!</v>
      </c>
      <c r="BB20" s="23" t="e">
        <f>IF(SUMPRODUCT($J$67:BA$67,$J20:BA20)&lt;0.5, "Pending", IF(BA20&lt;0.5, "Complete", "In Progress"))</f>
        <v>#REF!</v>
      </c>
      <c r="BC20" s="22">
        <v>0</v>
      </c>
      <c r="BD20" s="22" t="e">
        <f t="shared" ref="BD20" si="153">MAX(BA20-BC20,0)</f>
        <v>#REF!</v>
      </c>
      <c r="BE20" s="23" t="e">
        <f>IF(SUMPRODUCT($J$67:BD$67,$J20:BD20)&lt;0.5, "Pending", IF(BD20&lt;0.5, "Complete", "In Progress"))</f>
        <v>#REF!</v>
      </c>
      <c r="BF20" s="22">
        <v>0</v>
      </c>
      <c r="BG20" s="22" t="e">
        <f t="shared" ref="BG20" si="154">MAX(BD20-BF20,0)</f>
        <v>#REF!</v>
      </c>
      <c r="BH20" s="23" t="e">
        <f>IF(SUMPRODUCT($J$67:BG$67,$J20:BG20)&lt;0.5, "Pending", IF(BG20&lt;0.5, "Complete", "In Progress"))</f>
        <v>#REF!</v>
      </c>
      <c r="BI20" s="22">
        <v>0</v>
      </c>
      <c r="BJ20" s="22" t="e">
        <f t="shared" ref="BJ20" si="155">MAX(BG20-BI20,0)</f>
        <v>#REF!</v>
      </c>
      <c r="BK20" s="23" t="e">
        <f>IF(SUMPRODUCT($J$67:BJ$67,$J20:BJ20)&lt;0.5, "Pending", IF(BJ20&lt;0.5, "Complete", "In Progress"))</f>
        <v>#REF!</v>
      </c>
      <c r="BL20" s="22">
        <v>0</v>
      </c>
      <c r="BM20" s="22" t="e">
        <f t="shared" ref="BM20" si="156">MAX(BJ20-BL20,0)</f>
        <v>#REF!</v>
      </c>
      <c r="BN20" s="23" t="e">
        <f>IF(SUMPRODUCT($J$67:BM$67,$J20:BM20)&lt;0.5, "Pending", IF(BM20&lt;0.5, "Complete", "In Progress"))</f>
        <v>#REF!</v>
      </c>
      <c r="BO20" s="22">
        <v>0</v>
      </c>
      <c r="BP20" s="22" t="e">
        <f t="shared" ref="BP20" si="157">MAX(BM20-BO20,0)</f>
        <v>#REF!</v>
      </c>
      <c r="BQ20" s="23" t="e">
        <f>IF(SUMPRODUCT($J$67:BP$67,$J20:BP20)&lt;0.5, "Pending", IF(BP20&lt;0.5, "Complete", "In Progress"))</f>
        <v>#REF!</v>
      </c>
      <c r="BR20" s="22">
        <v>0</v>
      </c>
      <c r="BS20" s="22" t="e">
        <f t="shared" ref="BS20" si="158">MAX(BP20-BR20,0)</f>
        <v>#REF!</v>
      </c>
      <c r="BT20" s="23" t="e">
        <f>IF(SUMPRODUCT($J$67:BS$67,$J20:BS20)&lt;0.5, "Pending", IF(BS20&lt;0.5, "Complete", "In Progress"))</f>
        <v>#REF!</v>
      </c>
      <c r="BU20" s="22">
        <v>0</v>
      </c>
      <c r="BV20" s="22" t="e">
        <f t="shared" ref="BV20" si="159">MAX(BS20-BU20,0)</f>
        <v>#REF!</v>
      </c>
      <c r="BW20" s="23" t="e">
        <f>IF(SUMPRODUCT($J$67:BV$67,$J20:BV20)&lt;0.5, "Pending", IF(BV20&lt;0.5, "Complete", "In Progress"))</f>
        <v>#REF!</v>
      </c>
      <c r="BX20" s="22">
        <v>0</v>
      </c>
      <c r="BY20" s="22" t="e">
        <f t="shared" ref="BY20" si="160">MAX(BV20-BX20,0)</f>
        <v>#REF!</v>
      </c>
      <c r="BZ20" s="23" t="e">
        <f>IF(SUMPRODUCT($J$67:BY$67,$J20:BY20)&lt;0.5, "Pending", IF(BY20&lt;0.5, "Complete", "In Progress"))</f>
        <v>#REF!</v>
      </c>
      <c r="CA20" s="22">
        <v>0</v>
      </c>
      <c r="CB20" s="22" t="e">
        <f t="shared" ref="CB20" si="161">MAX(BY20-CA20,0)</f>
        <v>#REF!</v>
      </c>
      <c r="CC20" s="23" t="e">
        <f>IF(SUMPRODUCT($J$67:CB$67,$J20:CB20)&lt;0.5, "Pending", IF(CB20&lt;0.5, "Complete", "In Progress"))</f>
        <v>#REF!</v>
      </c>
      <c r="CD20" s="24"/>
      <c r="CE20" s="25">
        <f>SUMPRODUCT($H$67:AY$67,$H20:AY20)</f>
        <v>4</v>
      </c>
    </row>
    <row r="21" spans="1:83" ht="13.5" thickBot="1" x14ac:dyDescent="0.25">
      <c r="A21" s="16" t="s">
        <v>108</v>
      </c>
      <c r="B21" s="16" t="s">
        <v>124</v>
      </c>
      <c r="C21" s="201" t="s">
        <v>173</v>
      </c>
      <c r="D21" s="17">
        <v>21</v>
      </c>
      <c r="E21" s="168" t="s">
        <v>162</v>
      </c>
      <c r="F21" s="18" t="s">
        <v>148</v>
      </c>
      <c r="G21" s="19" t="e">
        <f t="shared" ca="1" si="0"/>
        <v>#REF!</v>
      </c>
      <c r="H21" s="20">
        <v>1</v>
      </c>
      <c r="I21" s="21">
        <v>4</v>
      </c>
      <c r="J21" s="22">
        <v>2</v>
      </c>
      <c r="K21" s="22">
        <f t="shared" si="24"/>
        <v>2</v>
      </c>
      <c r="L21" s="23" t="str">
        <f>IF(SUMPRODUCT($J$67:K$67,$J21:K21)&lt;0.5, "Pending", IF(K21&lt;0.5, "Complete", "In Progress"))</f>
        <v>In Progress</v>
      </c>
      <c r="M21" s="22">
        <v>2</v>
      </c>
      <c r="N21" s="22">
        <f t="shared" si="25"/>
        <v>0</v>
      </c>
      <c r="O21" s="23" t="str">
        <f>IF(SUMPRODUCT($J$67:N$67,$J21:N21)&lt;0.5, "Pending", IF(N21&lt;0.5, "Complete", "In Progress"))</f>
        <v>Complete</v>
      </c>
      <c r="P21" s="22">
        <v>0</v>
      </c>
      <c r="Q21" s="22">
        <f t="shared" si="26"/>
        <v>0</v>
      </c>
      <c r="R21" s="23" t="str">
        <f>IF(SUMPRODUCT($J$67:Q$67,$J21:Q21)&lt;0.5, "Pending", IF(Q21&lt;0.5, "Complete", "In Progress"))</f>
        <v>Complete</v>
      </c>
      <c r="S21" s="22">
        <v>0</v>
      </c>
      <c r="T21" s="22">
        <f t="shared" si="27"/>
        <v>0</v>
      </c>
      <c r="U21" s="23" t="str">
        <f>IF(SUMPRODUCT($J$67:T$67,$J21:T21)&lt;0.5, "Pending", IF(T21&lt;0.5, "Complete", "In Progress"))</f>
        <v>Complete</v>
      </c>
      <c r="V21" s="22">
        <v>0</v>
      </c>
      <c r="W21" s="22">
        <f t="shared" si="28"/>
        <v>0</v>
      </c>
      <c r="X21" s="23" t="str">
        <f>IF(SUMPRODUCT($J$67:W$67,$J21:W21)&lt;0.5, "Pending", IF(W21&lt;0.5, "Complete", "In Progress"))</f>
        <v>Complete</v>
      </c>
      <c r="Y21" s="22">
        <v>0</v>
      </c>
      <c r="Z21" s="22">
        <f t="shared" si="29"/>
        <v>0</v>
      </c>
      <c r="AA21" s="23" t="str">
        <f>IF(SUMPRODUCT($J$67:Z$67,$J21:Z21)&lt;0.5, "Pending", IF(Z21&lt;0.5, "Complete", "In Progress"))</f>
        <v>Complete</v>
      </c>
      <c r="AB21" s="22">
        <v>0</v>
      </c>
      <c r="AC21" s="22">
        <f t="shared" si="30"/>
        <v>0</v>
      </c>
      <c r="AD21" s="23" t="str">
        <f>IF(SUMPRODUCT($J$67:AC$67,$J21:AC21)&lt;0.5, "Pending", IF(AC21&lt;0.5, "Complete", "In Progress"))</f>
        <v>Complete</v>
      </c>
      <c r="AE21" s="22">
        <v>0</v>
      </c>
      <c r="AF21" s="22">
        <f t="shared" si="31"/>
        <v>0</v>
      </c>
      <c r="AG21" s="23" t="str">
        <f>IF(SUMPRODUCT($J$67:AF$67,$J21:AF21)&lt;0.5, "Pending", IF(AF21&lt;0.5, "Complete", "In Progress"))</f>
        <v>Complete</v>
      </c>
      <c r="AH21" s="22">
        <v>0</v>
      </c>
      <c r="AI21" s="22">
        <f t="shared" si="32"/>
        <v>0</v>
      </c>
      <c r="AJ21" s="23" t="str">
        <f>IF(SUMPRODUCT($J$67:AI$67,$J21:AI21)&lt;0.5, "Pending", IF(AI21&lt;0.5, "Complete", "In Progress"))</f>
        <v>Complete</v>
      </c>
      <c r="AK21" s="22">
        <v>0</v>
      </c>
      <c r="AL21" s="22">
        <f t="shared" si="33"/>
        <v>0</v>
      </c>
      <c r="AM21" s="23" t="str">
        <f>IF(SUMPRODUCT($J$67:AL$67,$J21:AL21)&lt;0.5, "Pending", IF(AL21&lt;0.5, "Complete", "In Progress"))</f>
        <v>Complete</v>
      </c>
      <c r="AN21" s="22">
        <v>0</v>
      </c>
      <c r="AO21" s="22">
        <f t="shared" si="34"/>
        <v>0</v>
      </c>
      <c r="AP21" s="23" t="str">
        <f>IF(SUMPRODUCT($J$67:AO$67,$J21:AO21)&lt;0.5, "Pending", IF(AO21&lt;0.5, "Complete", "In Progress"))</f>
        <v>Complete</v>
      </c>
      <c r="AQ21" s="22">
        <v>0</v>
      </c>
      <c r="AR21" s="22">
        <f t="shared" si="35"/>
        <v>0</v>
      </c>
      <c r="AS21" s="23" t="str">
        <f>IF(SUMPRODUCT($J$67:AR$67,$J21:AR21)&lt;0.5, "Pending", IF(AR21&lt;0.5, "Complete", "In Progress"))</f>
        <v>Complete</v>
      </c>
      <c r="AT21" s="22">
        <v>0</v>
      </c>
      <c r="AU21" s="22">
        <f t="shared" si="36"/>
        <v>0</v>
      </c>
      <c r="AV21" s="23" t="str">
        <f>IF(SUMPRODUCT($J$67:AU$67,$J21:AU21)&lt;0.5, "Pending", IF(AU21&lt;0.5, "Complete", "In Progress"))</f>
        <v>Complete</v>
      </c>
      <c r="AW21" s="22">
        <v>0</v>
      </c>
      <c r="AX21" s="22">
        <f t="shared" si="37"/>
        <v>0</v>
      </c>
      <c r="AY21" s="23" t="str">
        <f>IF(SUMPRODUCT($J$67:AX$67,$J21:AX21)&lt;0.5, "Pending", IF(AX21&lt;0.5, "Complete", "In Progress"))</f>
        <v>Complete</v>
      </c>
      <c r="AZ21" s="22">
        <v>0</v>
      </c>
      <c r="BA21" s="22" t="e">
        <f>MAX(#REF!-AZ21,0)</f>
        <v>#REF!</v>
      </c>
      <c r="BB21" s="23" t="e">
        <f>IF(SUMPRODUCT($J$67:BA$67,$J21:BA21)&lt;0.5,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IF(SUMPRODUCT($J$67:BD$67,$J21:BD21)&lt;0.5,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IF(SUMPRODUCT($J$67:BG$67,$J21:BG21)&lt;0.5,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IF(SUMPRODUCT($J$67:BJ$67,$J21:BJ21)&lt;0.5,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IF(SUMPRODUCT($J$67:BM$67,$J21:BM21)&lt;0.5,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IF(SUMPRODUCT($J$67:BP$67,$J21:BP21)&lt;0.5,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IF(SUMPRODUCT($J$67:BS$67,$J21:BS21)&lt;0.5,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IF(SUMPRODUCT($J$67:BV$67,$J21:BV21)&lt;0.5,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IF(SUMPRODUCT($J$67:BY$67,$J21:BY21)&lt;0.5,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IF(SUMPRODUCT($J$67:CB$67,$J21:CB21)&lt;0.5, "Pending", IF(CB21&lt;0.5, "Complete", "In Progress"))</f>
        <v>#REF!</v>
      </c>
      <c r="CD21" s="24"/>
      <c r="CE21" s="25">
        <f>SUMPRODUCT($H$67:AY$67,$H21:AY21)</f>
        <v>4</v>
      </c>
    </row>
    <row r="22" spans="1:83" ht="15" thickBot="1" x14ac:dyDescent="0.25">
      <c r="A22" s="16" t="s">
        <v>107</v>
      </c>
      <c r="B22" s="16" t="s">
        <v>113</v>
      </c>
      <c r="C22" s="177" t="s">
        <v>167</v>
      </c>
      <c r="D22" s="17">
        <v>22</v>
      </c>
      <c r="E22" s="178" t="s">
        <v>163</v>
      </c>
      <c r="F22" s="18" t="s">
        <v>135</v>
      </c>
      <c r="G22" s="19" t="e">
        <f t="shared" ca="1" si="0"/>
        <v>#REF!</v>
      </c>
      <c r="H22" s="20">
        <v>1</v>
      </c>
      <c r="I22" s="21">
        <v>3</v>
      </c>
      <c r="J22" s="22">
        <v>0</v>
      </c>
      <c r="K22" s="22">
        <f t="shared" si="24"/>
        <v>3</v>
      </c>
      <c r="L22" s="23" t="str">
        <f>IF(SUMPRODUCT($J$67:K$67,$J22:K22)&lt;0.5, "Pending", IF(K22&lt;0.5, "Complete", "In Progress"))</f>
        <v>Pending</v>
      </c>
      <c r="M22" s="22">
        <v>0</v>
      </c>
      <c r="N22" s="22">
        <f t="shared" si="25"/>
        <v>3</v>
      </c>
      <c r="O22" s="23" t="str">
        <f>IF(SUMPRODUCT($J$67:N$67,$J22:N22)&lt;0.5, "Pending", IF(N22&lt;0.5, "Complete", "In Progress"))</f>
        <v>Pending</v>
      </c>
      <c r="P22" s="22">
        <v>0</v>
      </c>
      <c r="Q22" s="22">
        <f t="shared" si="26"/>
        <v>3</v>
      </c>
      <c r="R22" s="23" t="str">
        <f>IF(SUMPRODUCT($J$67:Q$67,$J22:Q22)&lt;0.5, "Pending", IF(Q22&lt;0.5, "Complete", "In Progress"))</f>
        <v>Pending</v>
      </c>
      <c r="S22" s="22">
        <v>2</v>
      </c>
      <c r="T22" s="22">
        <f t="shared" si="27"/>
        <v>1</v>
      </c>
      <c r="U22" s="23" t="str">
        <f>IF(SUMPRODUCT($J$67:T$67,$J22:T22)&lt;0.5, "Pending", IF(T22&lt;0.5, "Complete", "In Progress"))</f>
        <v>In Progress</v>
      </c>
      <c r="V22" s="22">
        <v>1</v>
      </c>
      <c r="W22" s="22">
        <f t="shared" si="28"/>
        <v>0</v>
      </c>
      <c r="X22" s="23" t="str">
        <f>IF(SUMPRODUCT($J$67:W$67,$J22:W22)&lt;0.5, "Pending", IF(W22&lt;0.5, "Complete", "In Progress"))</f>
        <v>Complete</v>
      </c>
      <c r="Y22" s="22">
        <v>0</v>
      </c>
      <c r="Z22" s="22">
        <f t="shared" si="29"/>
        <v>0</v>
      </c>
      <c r="AA22" s="23" t="str">
        <f>IF(SUMPRODUCT($J$67:Z$67,$J22:Z22)&lt;0.5, "Pending", IF(Z22&lt;0.5, "Complete", "In Progress"))</f>
        <v>Complete</v>
      </c>
      <c r="AB22" s="22">
        <v>0</v>
      </c>
      <c r="AC22" s="22">
        <f t="shared" si="30"/>
        <v>0</v>
      </c>
      <c r="AD22" s="23" t="str">
        <f>IF(SUMPRODUCT($J$67:AC$67,$J22:AC22)&lt;0.5, "Pending", IF(AC22&lt;0.5, "Complete", "In Progress"))</f>
        <v>Complete</v>
      </c>
      <c r="AE22" s="22">
        <v>0</v>
      </c>
      <c r="AF22" s="22">
        <f t="shared" si="31"/>
        <v>0</v>
      </c>
      <c r="AG22" s="23" t="str">
        <f>IF(SUMPRODUCT($J$67:AF$67,$J22:AF22)&lt;0.5, "Pending", IF(AF22&lt;0.5, "Complete", "In Progress"))</f>
        <v>Complete</v>
      </c>
      <c r="AH22" s="22">
        <v>0</v>
      </c>
      <c r="AI22" s="22">
        <f t="shared" si="32"/>
        <v>0</v>
      </c>
      <c r="AJ22" s="23" t="str">
        <f>IF(SUMPRODUCT($J$67:AI$67,$J22:AI22)&lt;0.5, "Pending", IF(AI22&lt;0.5, "Complete", "In Progress"))</f>
        <v>Complete</v>
      </c>
      <c r="AK22" s="22">
        <v>0</v>
      </c>
      <c r="AL22" s="22">
        <f t="shared" si="33"/>
        <v>0</v>
      </c>
      <c r="AM22" s="23" t="str">
        <f>IF(SUMPRODUCT($J$67:AL$67,$J22:AL22)&lt;0.5, "Pending", IF(AL22&lt;0.5, "Complete", "In Progress"))</f>
        <v>Complete</v>
      </c>
      <c r="AN22" s="22">
        <v>0</v>
      </c>
      <c r="AO22" s="22">
        <f t="shared" si="34"/>
        <v>0</v>
      </c>
      <c r="AP22" s="23" t="str">
        <f>IF(SUMPRODUCT($J$67:AO$67,$J22:AO22)&lt;0.5, "Pending", IF(AO22&lt;0.5, "Complete", "In Progress"))</f>
        <v>Complete</v>
      </c>
      <c r="AQ22" s="22">
        <v>0</v>
      </c>
      <c r="AR22" s="22">
        <f t="shared" si="35"/>
        <v>0</v>
      </c>
      <c r="AS22" s="23" t="str">
        <f>IF(SUMPRODUCT($J$67:AR$67,$J22:AR22)&lt;0.5, "Pending", IF(AR22&lt;0.5, "Complete", "In Progress"))</f>
        <v>Complete</v>
      </c>
      <c r="AT22" s="22">
        <v>0</v>
      </c>
      <c r="AU22" s="22">
        <f t="shared" si="36"/>
        <v>0</v>
      </c>
      <c r="AV22" s="23" t="str">
        <f>IF(SUMPRODUCT($J$67:AU$67,$J22:AU22)&lt;0.5, "Pending", IF(AU22&lt;0.5, "Complete", "In Progress"))</f>
        <v>Complete</v>
      </c>
      <c r="AW22" s="22">
        <v>0</v>
      </c>
      <c r="AX22" s="22">
        <f t="shared" si="37"/>
        <v>0</v>
      </c>
      <c r="AY22" s="23" t="str">
        <f>IF(SUMPRODUCT($J$67:AX$67,$J22:AX22)&lt;0.5, "Pending", IF(AX22&lt;0.5, "Complete", "In Progress"))</f>
        <v>Complete</v>
      </c>
      <c r="AZ22" s="22">
        <v>0</v>
      </c>
      <c r="BA22" s="22" t="e">
        <f>MAX(#REF!-AZ22,0)</f>
        <v>#REF!</v>
      </c>
      <c r="BB22" s="23" t="e">
        <f>IF(SUMPRODUCT($J$67:BA$67,$J22:BA22)&lt;0.5,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IF(SUMPRODUCT($J$67:BD$67,$J22:BD22)&lt;0.5,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IF(SUMPRODUCT($J$67:BG$67,$J22:BG22)&lt;0.5,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IF(SUMPRODUCT($J$67:BJ$67,$J22:BJ22)&lt;0.5,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IF(SUMPRODUCT($J$67:BM$67,$J22:BM22)&lt;0.5,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IF(SUMPRODUCT($J$67:BP$67,$J22:BP22)&lt;0.5,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IF(SUMPRODUCT($J$67:BS$67,$J22:BS22)&lt;0.5,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IF(SUMPRODUCT($J$67:BV$67,$J22:BV22)&lt;0.5,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IF(SUMPRODUCT($J$67:BY$67,$J22:BY22)&lt;0.5,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IF(SUMPRODUCT($J$67:CB$67,$J22:CB22)&lt;0.5, "Pending", IF(CB22&lt;0.5, "Complete", "In Progress"))</f>
        <v>#REF!</v>
      </c>
      <c r="CD22" s="24"/>
      <c r="CE22" s="25">
        <f>SUMPRODUCT($H$67:AY$67,$H22:AY22)</f>
        <v>3</v>
      </c>
    </row>
    <row r="23" spans="1:83" ht="29.25" thickBot="1" x14ac:dyDescent="0.25">
      <c r="A23" s="16" t="s">
        <v>105</v>
      </c>
      <c r="B23" s="16" t="s">
        <v>122</v>
      </c>
      <c r="C23" s="16" t="s">
        <v>174</v>
      </c>
      <c r="D23" s="17">
        <v>23</v>
      </c>
      <c r="E23" s="178" t="s">
        <v>166</v>
      </c>
      <c r="F23" s="18" t="s">
        <v>136</v>
      </c>
      <c r="G23" s="19" t="e">
        <f t="shared" ca="1" si="0"/>
        <v>#REF!</v>
      </c>
      <c r="H23" s="20">
        <v>1</v>
      </c>
      <c r="I23" s="21">
        <v>7</v>
      </c>
      <c r="J23" s="22">
        <v>0</v>
      </c>
      <c r="K23" s="22">
        <f t="shared" si="24"/>
        <v>7</v>
      </c>
      <c r="L23" s="23" t="str">
        <f>IF(SUMPRODUCT($J$67:K$67,$J23:K23)&lt;0.5, "Pending", IF(K23&lt;0.5, "Complete", "In Progress"))</f>
        <v>Pending</v>
      </c>
      <c r="M23" s="22">
        <v>0</v>
      </c>
      <c r="N23" s="22">
        <f t="shared" si="25"/>
        <v>7</v>
      </c>
      <c r="O23" s="23" t="str">
        <f>IF(SUMPRODUCT($J$67:N$67,$J23:N23)&lt;0.5, "Pending", IF(N23&lt;0.5, "Complete", "In Progress"))</f>
        <v>Pending</v>
      </c>
      <c r="P23" s="22">
        <v>2</v>
      </c>
      <c r="Q23" s="22">
        <f t="shared" si="26"/>
        <v>5</v>
      </c>
      <c r="R23" s="23" t="str">
        <f>IF(SUMPRODUCT($J$67:Q$67,$J23:Q23)&lt;0.5, "Pending", IF(Q23&lt;0.5, "Complete", "In Progress"))</f>
        <v>In Progress</v>
      </c>
      <c r="S23" s="22">
        <v>2</v>
      </c>
      <c r="T23" s="22">
        <f t="shared" si="27"/>
        <v>3</v>
      </c>
      <c r="U23" s="23" t="str">
        <f>IF(SUMPRODUCT($J$67:T$67,$J23:T23)&lt;0.5, "Pending", IF(T23&lt;0.5, "Complete", "In Progress"))</f>
        <v>In Progress</v>
      </c>
      <c r="V23" s="22">
        <v>2</v>
      </c>
      <c r="W23" s="22">
        <f t="shared" si="28"/>
        <v>1</v>
      </c>
      <c r="X23" s="23" t="str">
        <f>IF(SUMPRODUCT($J$67:W$67,$J23:W23)&lt;0.5, "Pending", IF(W23&lt;0.5, "Complete", "In Progress"))</f>
        <v>In Progress</v>
      </c>
      <c r="Y23" s="22">
        <v>1</v>
      </c>
      <c r="Z23" s="22">
        <f t="shared" si="29"/>
        <v>0</v>
      </c>
      <c r="AA23" s="23" t="str">
        <f>IF(SUMPRODUCT($J$67:Z$67,$J23:Z23)&lt;0.5, "Pending", IF(Z23&lt;0.5, "Complete", "In Progress"))</f>
        <v>Complete</v>
      </c>
      <c r="AB23" s="22">
        <v>0</v>
      </c>
      <c r="AC23" s="22">
        <f t="shared" si="30"/>
        <v>0</v>
      </c>
      <c r="AD23" s="23" t="str">
        <f>IF(SUMPRODUCT($J$67:AC$67,$J23:AC23)&lt;0.5, "Pending", IF(AC23&lt;0.5, "Complete", "In Progress"))</f>
        <v>Complete</v>
      </c>
      <c r="AE23" s="22">
        <v>0</v>
      </c>
      <c r="AF23" s="22">
        <f t="shared" si="31"/>
        <v>0</v>
      </c>
      <c r="AG23" s="23" t="str">
        <f>IF(SUMPRODUCT($J$67:AF$67,$J23:AF23)&lt;0.5, "Pending", IF(AF23&lt;0.5, "Complete", "In Progress"))</f>
        <v>Complete</v>
      </c>
      <c r="AH23" s="22">
        <v>0</v>
      </c>
      <c r="AI23" s="22">
        <f t="shared" si="32"/>
        <v>0</v>
      </c>
      <c r="AJ23" s="23" t="str">
        <f>IF(SUMPRODUCT($J$67:AI$67,$J23:AI23)&lt;0.5, "Pending", IF(AI23&lt;0.5, "Complete", "In Progress"))</f>
        <v>Complete</v>
      </c>
      <c r="AK23" s="22">
        <v>0</v>
      </c>
      <c r="AL23" s="22">
        <f t="shared" si="33"/>
        <v>0</v>
      </c>
      <c r="AM23" s="23" t="str">
        <f>IF(SUMPRODUCT($J$67:AL$67,$J23:AL23)&lt;0.5, "Pending", IF(AL23&lt;0.5, "Complete", "In Progress"))</f>
        <v>Complete</v>
      </c>
      <c r="AN23" s="22">
        <v>0</v>
      </c>
      <c r="AO23" s="22">
        <f t="shared" si="34"/>
        <v>0</v>
      </c>
      <c r="AP23" s="23" t="str">
        <f>IF(SUMPRODUCT($J$67:AO$67,$J23:AO23)&lt;0.5, "Pending", IF(AO23&lt;0.5, "Complete", "In Progress"))</f>
        <v>Complete</v>
      </c>
      <c r="AQ23" s="22">
        <v>0</v>
      </c>
      <c r="AR23" s="22">
        <f t="shared" si="35"/>
        <v>0</v>
      </c>
      <c r="AS23" s="23" t="str">
        <f>IF(SUMPRODUCT($J$67:AR$67,$J23:AR23)&lt;0.5, "Pending", IF(AR23&lt;0.5, "Complete", "In Progress"))</f>
        <v>Complete</v>
      </c>
      <c r="AT23" s="22">
        <v>0</v>
      </c>
      <c r="AU23" s="22">
        <f t="shared" si="36"/>
        <v>0</v>
      </c>
      <c r="AV23" s="23" t="str">
        <f>IF(SUMPRODUCT($J$67:AU$67,$J23:AU23)&lt;0.5, "Pending", IF(AU23&lt;0.5, "Complete", "In Progress"))</f>
        <v>Complete</v>
      </c>
      <c r="AW23" s="22">
        <v>0</v>
      </c>
      <c r="AX23" s="22">
        <f t="shared" si="37"/>
        <v>0</v>
      </c>
      <c r="AY23" s="23" t="str">
        <f>IF(SUMPRODUCT($J$67:AX$67,$J23:AX23)&lt;0.5, "Pending", IF(AX23&lt;0.5, "Complete", "In Progress"))</f>
        <v>Complete</v>
      </c>
      <c r="AZ23" s="22">
        <v>0</v>
      </c>
      <c r="BA23" s="22" t="e">
        <f>MAX(#REF!-AZ23,0)</f>
        <v>#REF!</v>
      </c>
      <c r="BB23" s="23" t="e">
        <f>IF(SUMPRODUCT($J$67:BA$67,$J23:BA23)&lt;0.5,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IF(SUMPRODUCT($J$67:BD$67,$J23:BD23)&lt;0.5,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IF(SUMPRODUCT($J$67:BG$67,$J23:BG23)&lt;0.5,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IF(SUMPRODUCT($J$67:BJ$67,$J23:BJ23)&lt;0.5,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IF(SUMPRODUCT($J$67:BM$67,$J23:BM23)&lt;0.5,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IF(SUMPRODUCT($J$67:BP$67,$J23:BP23)&lt;0.5,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IF(SUMPRODUCT($J$67:BS$67,$J23:BS23)&lt;0.5,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IF(SUMPRODUCT($J$67:BV$67,$J23:BV23)&lt;0.5,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IF(SUMPRODUCT($J$67:BY$67,$J23:BY23)&lt;0.5,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IF(SUMPRODUCT($J$67:CB$67,$J23:CB23)&lt;0.5, "Pending", IF(CB23&lt;0.5, "Complete", "In Progress"))</f>
        <v>#REF!</v>
      </c>
      <c r="CD23" s="24"/>
      <c r="CE23" s="25">
        <f>SUMPRODUCT($H$67:AY$67,$H23:AY23)</f>
        <v>7</v>
      </c>
    </row>
    <row r="24" spans="1:83" ht="15" thickBot="1" x14ac:dyDescent="0.25">
      <c r="A24" s="16" t="s">
        <v>107</v>
      </c>
      <c r="B24" s="16" t="s">
        <v>122</v>
      </c>
      <c r="C24" s="16" t="s">
        <v>174</v>
      </c>
      <c r="D24" s="17">
        <v>24</v>
      </c>
      <c r="E24" s="178" t="s">
        <v>164</v>
      </c>
      <c r="F24" s="18" t="s">
        <v>142</v>
      </c>
      <c r="G24" s="19" t="e">
        <f t="shared" ca="1" si="0"/>
        <v>#REF!</v>
      </c>
      <c r="H24" s="20">
        <v>1</v>
      </c>
      <c r="I24" s="21">
        <v>5</v>
      </c>
      <c r="J24" s="22">
        <v>0</v>
      </c>
      <c r="K24" s="22">
        <f t="shared" si="24"/>
        <v>5</v>
      </c>
      <c r="L24" s="23" t="str">
        <f>IF(SUMPRODUCT($J$67:K$67,$J24:K24)&lt;0.5, "Pending", IF(K24&lt;0.5, "Complete", "In Progress"))</f>
        <v>Pending</v>
      </c>
      <c r="M24" s="22">
        <v>0</v>
      </c>
      <c r="N24" s="22">
        <f t="shared" si="25"/>
        <v>5</v>
      </c>
      <c r="O24" s="23" t="str">
        <f>IF(SUMPRODUCT($J$67:N$67,$J24:N24)&lt;0.5, "Pending", IF(N24&lt;0.5, "Complete", "In Progress"))</f>
        <v>Pending</v>
      </c>
      <c r="P24" s="22">
        <v>0</v>
      </c>
      <c r="Q24" s="22">
        <f t="shared" si="26"/>
        <v>5</v>
      </c>
      <c r="R24" s="23" t="str">
        <f>IF(SUMPRODUCT($J$67:Q$67,$J24:Q24)&lt;0.5, "Pending", IF(Q24&lt;0.5, "Complete", "In Progress"))</f>
        <v>Pending</v>
      </c>
      <c r="S24" s="22">
        <v>0</v>
      </c>
      <c r="T24" s="22">
        <f t="shared" si="27"/>
        <v>5</v>
      </c>
      <c r="U24" s="23" t="str">
        <f>IF(SUMPRODUCT($J$67:T$67,$J24:T24)&lt;0.5, "Pending", IF(T24&lt;0.5, "Complete", "In Progress"))</f>
        <v>Pending</v>
      </c>
      <c r="V24" s="22">
        <v>0</v>
      </c>
      <c r="W24" s="22">
        <f t="shared" si="28"/>
        <v>5</v>
      </c>
      <c r="X24" s="23" t="str">
        <f>IF(SUMPRODUCT($J$67:W$67,$J24:W24)&lt;0.5, "Pending", IF(W24&lt;0.5, "Complete", "In Progress"))</f>
        <v>Pending</v>
      </c>
      <c r="Y24" s="22">
        <v>1</v>
      </c>
      <c r="Z24" s="22">
        <f t="shared" si="29"/>
        <v>4</v>
      </c>
      <c r="AA24" s="23" t="str">
        <f>IF(SUMPRODUCT($J$67:Z$67,$J24:Z24)&lt;0.5, "Pending", IF(Z24&lt;0.5, "Complete", "In Progress"))</f>
        <v>In Progress</v>
      </c>
      <c r="AB24" s="22">
        <v>2</v>
      </c>
      <c r="AC24" s="22">
        <f t="shared" si="30"/>
        <v>2</v>
      </c>
      <c r="AD24" s="23" t="str">
        <f>IF(SUMPRODUCT($J$67:AC$67,$J24:AC24)&lt;0.5, "Pending", IF(AC24&lt;0.5, "Complete", "In Progress"))</f>
        <v>In Progress</v>
      </c>
      <c r="AE24" s="22">
        <v>2</v>
      </c>
      <c r="AF24" s="22">
        <f t="shared" si="31"/>
        <v>0</v>
      </c>
      <c r="AG24" s="23" t="str">
        <f>IF(SUMPRODUCT($J$67:AF$67,$J24:AF24)&lt;0.5, "Pending", IF(AF24&lt;0.5, "Complete", "In Progress"))</f>
        <v>Complete</v>
      </c>
      <c r="AH24" s="22">
        <v>0</v>
      </c>
      <c r="AI24" s="22">
        <f t="shared" si="32"/>
        <v>0</v>
      </c>
      <c r="AJ24" s="23" t="str">
        <f>IF(SUMPRODUCT($J$67:AI$67,$J24:AI24)&lt;0.5, "Pending", IF(AI24&lt;0.5, "Complete", "In Progress"))</f>
        <v>Complete</v>
      </c>
      <c r="AK24" s="22">
        <v>0</v>
      </c>
      <c r="AL24" s="22">
        <f t="shared" si="33"/>
        <v>0</v>
      </c>
      <c r="AM24" s="23" t="str">
        <f>IF(SUMPRODUCT($J$67:AL$67,$J24:AL24)&lt;0.5, "Pending", IF(AL24&lt;0.5, "Complete", "In Progress"))</f>
        <v>Complete</v>
      </c>
      <c r="AN24" s="22">
        <v>0</v>
      </c>
      <c r="AO24" s="22">
        <f t="shared" si="34"/>
        <v>0</v>
      </c>
      <c r="AP24" s="23" t="str">
        <f>IF(SUMPRODUCT($J$67:AO$67,$J24:AO24)&lt;0.5, "Pending", IF(AO24&lt;0.5, "Complete", "In Progress"))</f>
        <v>Complete</v>
      </c>
      <c r="AQ24" s="22">
        <v>0</v>
      </c>
      <c r="AR24" s="22">
        <f t="shared" si="35"/>
        <v>0</v>
      </c>
      <c r="AS24" s="23" t="str">
        <f>IF(SUMPRODUCT($J$67:AR$67,$J24:AR24)&lt;0.5, "Pending", IF(AR24&lt;0.5, "Complete", "In Progress"))</f>
        <v>Complete</v>
      </c>
      <c r="AT24" s="22">
        <v>0</v>
      </c>
      <c r="AU24" s="22">
        <f t="shared" si="36"/>
        <v>0</v>
      </c>
      <c r="AV24" s="23" t="str">
        <f>IF(SUMPRODUCT($J$67:AU$67,$J24:AU24)&lt;0.5, "Pending", IF(AU24&lt;0.5, "Complete", "In Progress"))</f>
        <v>Complete</v>
      </c>
      <c r="AW24" s="22">
        <v>0</v>
      </c>
      <c r="AX24" s="22">
        <f t="shared" si="37"/>
        <v>0</v>
      </c>
      <c r="AY24" s="23" t="str">
        <f>IF(SUMPRODUCT($J$67:AX$67,$J24:AX24)&lt;0.5, "Pending", IF(AX24&lt;0.5, "Complete", "In Progress"))</f>
        <v>Complete</v>
      </c>
      <c r="AZ24" s="22">
        <v>0</v>
      </c>
      <c r="BA24" s="22" t="e">
        <f>MAX(#REF!-AZ24,0)</f>
        <v>#REF!</v>
      </c>
      <c r="BB24" s="23" t="e">
        <f>IF(SUMPRODUCT($J$67:BA$67,$J24:BA24)&lt;0.5,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IF(SUMPRODUCT($J$67:BD$67,$J24:BD24)&lt;0.5,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IF(SUMPRODUCT($J$67:BG$67,$J24:BG24)&lt;0.5,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IF(SUMPRODUCT($J$67:BJ$67,$J24:BJ24)&lt;0.5,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IF(SUMPRODUCT($J$67:BM$67,$J24:BM24)&lt;0.5,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IF(SUMPRODUCT($J$67:BP$67,$J24:BP24)&lt;0.5,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IF(SUMPRODUCT($J$67:BS$67,$J24:BS24)&lt;0.5,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IF(SUMPRODUCT($J$67:BV$67,$J24:BV24)&lt;0.5,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IF(SUMPRODUCT($J$67:BY$67,$J24:BY24)&lt;0.5,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IF(SUMPRODUCT($J$67:CB$67,$J24:CB24)&lt;0.5, "Pending", IF(CB24&lt;0.5, "Complete", "In Progress"))</f>
        <v>#REF!</v>
      </c>
      <c r="CD24" s="24"/>
      <c r="CE24" s="25">
        <f>SUMPRODUCT($H$67:AY$67,$H24:AY24)</f>
        <v>5</v>
      </c>
    </row>
    <row r="25" spans="1:83" ht="29.25" thickBot="1" x14ac:dyDescent="0.25">
      <c r="A25" s="16" t="s">
        <v>105</v>
      </c>
      <c r="B25" s="16" t="s">
        <v>122</v>
      </c>
      <c r="C25" s="16" t="s">
        <v>174</v>
      </c>
      <c r="D25" s="17">
        <v>25</v>
      </c>
      <c r="E25" s="178" t="s">
        <v>165</v>
      </c>
      <c r="F25" s="18" t="s">
        <v>140</v>
      </c>
      <c r="G25" s="19" t="e">
        <f t="shared" ca="1" si="0"/>
        <v>#REF!</v>
      </c>
      <c r="H25" s="20">
        <v>1</v>
      </c>
      <c r="I25" s="21">
        <v>8</v>
      </c>
      <c r="J25" s="22">
        <v>0</v>
      </c>
      <c r="K25" s="22">
        <f t="shared" si="24"/>
        <v>8</v>
      </c>
      <c r="L25" s="23" t="str">
        <f>IF(SUMPRODUCT($J$67:K$67,$J25:K25)&lt;0.5, "Pending", IF(K25&lt;0.5, "Complete", "In Progress"))</f>
        <v>Pending</v>
      </c>
      <c r="M25" s="22">
        <v>0</v>
      </c>
      <c r="N25" s="22">
        <f t="shared" si="25"/>
        <v>8</v>
      </c>
      <c r="O25" s="23" t="str">
        <f>IF(SUMPRODUCT($J$67:N$67,$J25:N25)&lt;0.5, "Pending", IF(N25&lt;0.5, "Complete", "In Progress"))</f>
        <v>Pending</v>
      </c>
      <c r="P25" s="22">
        <v>0</v>
      </c>
      <c r="Q25" s="22">
        <f t="shared" si="26"/>
        <v>8</v>
      </c>
      <c r="R25" s="23" t="str">
        <f>IF(SUMPRODUCT($J$67:Q$67,$J25:Q25)&lt;0.5, "Pending", IF(Q25&lt;0.5, "Complete", "In Progress"))</f>
        <v>Pending</v>
      </c>
      <c r="S25" s="22">
        <v>0</v>
      </c>
      <c r="T25" s="22">
        <f t="shared" si="27"/>
        <v>8</v>
      </c>
      <c r="U25" s="23" t="str">
        <f>IF(SUMPRODUCT($J$67:T$67,$J25:T25)&lt;0.5, "Pending", IF(T25&lt;0.5, "Complete", "In Progress"))</f>
        <v>Pending</v>
      </c>
      <c r="V25" s="22">
        <v>0</v>
      </c>
      <c r="W25" s="22">
        <f t="shared" si="28"/>
        <v>8</v>
      </c>
      <c r="X25" s="23" t="str">
        <f>IF(SUMPRODUCT($J$67:W$67,$J25:W25)&lt;0.5, "Pending", IF(W25&lt;0.5, "Complete", "In Progress"))</f>
        <v>Pending</v>
      </c>
      <c r="Y25" s="22">
        <v>0</v>
      </c>
      <c r="Z25" s="22">
        <f t="shared" si="29"/>
        <v>8</v>
      </c>
      <c r="AA25" s="23" t="str">
        <f>IF(SUMPRODUCT($J$67:Z$67,$J25:Z25)&lt;0.5, "Pending", IF(Z25&lt;0.5, "Complete", "In Progress"))</f>
        <v>Pending</v>
      </c>
      <c r="AB25" s="22">
        <v>2</v>
      </c>
      <c r="AC25" s="22">
        <f t="shared" si="30"/>
        <v>6</v>
      </c>
      <c r="AD25" s="23" t="str">
        <f>IF(SUMPRODUCT($J$67:AC$67,$J25:AC25)&lt;0.5, "Pending", IF(AC25&lt;0.5, "Complete", "In Progress"))</f>
        <v>In Progress</v>
      </c>
      <c r="AE25" s="22">
        <v>2</v>
      </c>
      <c r="AF25" s="22">
        <f t="shared" si="31"/>
        <v>4</v>
      </c>
      <c r="AG25" s="23" t="str">
        <f>IF(SUMPRODUCT($J$67:AF$67,$J25:AF25)&lt;0.5, "Pending", IF(AF25&lt;0.5, "Complete", "In Progress"))</f>
        <v>In Progress</v>
      </c>
      <c r="AH25" s="22">
        <v>2</v>
      </c>
      <c r="AI25" s="22">
        <f t="shared" si="32"/>
        <v>2</v>
      </c>
      <c r="AJ25" s="23" t="str">
        <f>IF(SUMPRODUCT($J$67:AI$67,$J25:AI25)&lt;0.5, "Pending", IF(AI25&lt;0.5, "Complete", "In Progress"))</f>
        <v>In Progress</v>
      </c>
      <c r="AK25" s="22">
        <v>2</v>
      </c>
      <c r="AL25" s="22">
        <f t="shared" si="33"/>
        <v>0</v>
      </c>
      <c r="AM25" s="23" t="str">
        <f>IF(SUMPRODUCT($J$67:AL$67,$J25:AL25)&lt;0.5, "Pending", IF(AL25&lt;0.5, "Complete", "In Progress"))</f>
        <v>Complete</v>
      </c>
      <c r="AN25" s="22">
        <v>0</v>
      </c>
      <c r="AO25" s="22">
        <f t="shared" si="34"/>
        <v>0</v>
      </c>
      <c r="AP25" s="23" t="str">
        <f>IF(SUMPRODUCT($J$67:AO$67,$J25:AO25)&lt;0.5, "Pending", IF(AO25&lt;0.5, "Complete", "In Progress"))</f>
        <v>Complete</v>
      </c>
      <c r="AQ25" s="22">
        <v>0</v>
      </c>
      <c r="AR25" s="22">
        <f t="shared" si="35"/>
        <v>0</v>
      </c>
      <c r="AS25" s="23" t="str">
        <f>IF(SUMPRODUCT($J$67:AR$67,$J25:AR25)&lt;0.5, "Pending", IF(AR25&lt;0.5, "Complete", "In Progress"))</f>
        <v>Complete</v>
      </c>
      <c r="AT25" s="22">
        <v>0</v>
      </c>
      <c r="AU25" s="22">
        <f t="shared" si="36"/>
        <v>0</v>
      </c>
      <c r="AV25" s="23" t="str">
        <f>IF(SUMPRODUCT($J$67:AU$67,$J25:AU25)&lt;0.5, "Pending", IF(AU25&lt;0.5, "Complete", "In Progress"))</f>
        <v>Complete</v>
      </c>
      <c r="AW25" s="22">
        <v>0</v>
      </c>
      <c r="AX25" s="22">
        <f t="shared" si="37"/>
        <v>0</v>
      </c>
      <c r="AY25" s="23" t="str">
        <f>IF(SUMPRODUCT($J$67:AX$67,$J25:AX25)&lt;0.5, "Pending", IF(AX25&lt;0.5, "Complete", "In Progress"))</f>
        <v>Complete</v>
      </c>
      <c r="AZ25" s="22">
        <v>0</v>
      </c>
      <c r="BA25" s="22" t="e">
        <f>MAX(#REF!-AZ25,0)</f>
        <v>#REF!</v>
      </c>
      <c r="BB25" s="23" t="e">
        <f>IF(SUMPRODUCT($J$67:BA$67,$J25:BA25)&lt;0.5,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IF(SUMPRODUCT($J$67:BD$67,$J25:BD25)&lt;0.5,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IF(SUMPRODUCT($J$67:BG$67,$J25:BG25)&lt;0.5,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IF(SUMPRODUCT($J$67:BJ$67,$J25:BJ25)&lt;0.5,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IF(SUMPRODUCT($J$67:BM$67,$J25:BM25)&lt;0.5,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IF(SUMPRODUCT($J$67:BP$67,$J25:BP25)&lt;0.5,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IF(SUMPRODUCT($J$67:BS$67,$J25:BS25)&lt;0.5,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IF(SUMPRODUCT($J$67:BV$67,$J25:BV25)&lt;0.5,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IF(SUMPRODUCT($J$67:BY$67,$J25:BY25)&lt;0.5,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IF(SUMPRODUCT($J$67:CB$67,$J25:CB25)&lt;0.5, "Pending", IF(CB25&lt;0.5, "Complete", "In Progress"))</f>
        <v>#REF!</v>
      </c>
      <c r="CD25" s="24"/>
      <c r="CE25" s="25">
        <f>SUMPRODUCT($H$67:AY$67,$H25:AY25)</f>
        <v>8</v>
      </c>
    </row>
    <row r="26" spans="1:83" x14ac:dyDescent="0.2">
      <c r="A26" s="16" t="s">
        <v>107</v>
      </c>
      <c r="B26" s="16" t="s">
        <v>123</v>
      </c>
      <c r="C26" s="16" t="s">
        <v>169</v>
      </c>
      <c r="D26" s="17">
        <v>27</v>
      </c>
      <c r="E26" s="168" t="s">
        <v>157</v>
      </c>
      <c r="F26" s="18" t="s">
        <v>144</v>
      </c>
      <c r="G26" s="19" t="e">
        <f t="shared" ca="1" si="0"/>
        <v>#REF!</v>
      </c>
      <c r="H26" s="20">
        <v>1</v>
      </c>
      <c r="I26" s="21">
        <v>2</v>
      </c>
      <c r="J26" s="22">
        <v>0</v>
      </c>
      <c r="K26" s="22">
        <f t="shared" si="24"/>
        <v>2</v>
      </c>
      <c r="L26" s="23" t="str">
        <f>IF(SUMPRODUCT($J$67:K$67,$J26:K26)&lt;0.5, "Pending", IF(K26&lt;0.5, "Complete", "In Progress"))</f>
        <v>Pending</v>
      </c>
      <c r="M26" s="22">
        <v>0</v>
      </c>
      <c r="N26" s="22">
        <f t="shared" si="25"/>
        <v>2</v>
      </c>
      <c r="O26" s="23" t="str">
        <f>IF(SUMPRODUCT($J$67:N$67,$J26:N26)&lt;0.5, "Pending", IF(N26&lt;0.5, "Complete", "In Progress"))</f>
        <v>Pending</v>
      </c>
      <c r="P26" s="22">
        <v>0</v>
      </c>
      <c r="Q26" s="22">
        <f t="shared" si="26"/>
        <v>2</v>
      </c>
      <c r="R26" s="23" t="str">
        <f>IF(SUMPRODUCT($J$67:Q$67,$J26:Q26)&lt;0.5, "Pending", IF(Q26&lt;0.5, "Complete", "In Progress"))</f>
        <v>Pending</v>
      </c>
      <c r="S26" s="22">
        <v>0</v>
      </c>
      <c r="T26" s="22">
        <f t="shared" si="27"/>
        <v>2</v>
      </c>
      <c r="U26" s="23" t="str">
        <f>IF(SUMPRODUCT($J$67:T$67,$J26:T26)&lt;0.5, "Pending", IF(T26&lt;0.5, "Complete", "In Progress"))</f>
        <v>Pending</v>
      </c>
      <c r="V26" s="22">
        <v>0</v>
      </c>
      <c r="W26" s="22">
        <f t="shared" si="28"/>
        <v>2</v>
      </c>
      <c r="X26" s="23" t="str">
        <f>IF(SUMPRODUCT($J$67:W$67,$J26:W26)&lt;0.5, "Pending", IF(W26&lt;0.5, "Complete", "In Progress"))</f>
        <v>Pending</v>
      </c>
      <c r="Y26" s="22">
        <v>0</v>
      </c>
      <c r="Z26" s="22">
        <f t="shared" si="29"/>
        <v>2</v>
      </c>
      <c r="AA26" s="23" t="str">
        <f>IF(SUMPRODUCT($J$67:Z$67,$J26:Z26)&lt;0.5, "Pending", IF(Z26&lt;0.5, "Complete", "In Progress"))</f>
        <v>Pending</v>
      </c>
      <c r="AB26" s="22">
        <v>0</v>
      </c>
      <c r="AC26" s="22">
        <f t="shared" si="30"/>
        <v>2</v>
      </c>
      <c r="AD26" s="23" t="str">
        <f>IF(SUMPRODUCT($J$67:AC$67,$J26:AC26)&lt;0.5, "Pending", IF(AC26&lt;0.5, "Complete", "In Progress"))</f>
        <v>Pending</v>
      </c>
      <c r="AE26" s="22">
        <v>0</v>
      </c>
      <c r="AF26" s="22">
        <f t="shared" si="31"/>
        <v>2</v>
      </c>
      <c r="AG26" s="23" t="str">
        <f>IF(SUMPRODUCT($J$67:AF$67,$J26:AF26)&lt;0.5, "Pending", IF(AF26&lt;0.5, "Complete", "In Progress"))</f>
        <v>Pending</v>
      </c>
      <c r="AH26" s="22">
        <v>1</v>
      </c>
      <c r="AI26" s="22">
        <f t="shared" si="32"/>
        <v>1</v>
      </c>
      <c r="AJ26" s="23" t="str">
        <f>IF(SUMPRODUCT($J$67:AI$67,$J26:AI26)&lt;0.5, "Pending", IF(AI26&lt;0.5, "Complete", "In Progress"))</f>
        <v>In Progress</v>
      </c>
      <c r="AK26" s="22">
        <v>1</v>
      </c>
      <c r="AL26" s="22">
        <f t="shared" si="33"/>
        <v>0</v>
      </c>
      <c r="AM26" s="23" t="str">
        <f>IF(SUMPRODUCT($J$67:AL$67,$J26:AL26)&lt;0.5, "Pending", IF(AL26&lt;0.5, "Complete", "In Progress"))</f>
        <v>Complete</v>
      </c>
      <c r="AN26" s="22">
        <v>0</v>
      </c>
      <c r="AO26" s="22">
        <f t="shared" si="34"/>
        <v>0</v>
      </c>
      <c r="AP26" s="23" t="str">
        <f>IF(SUMPRODUCT($J$67:AO$67,$J26:AO26)&lt;0.5, "Pending", IF(AO26&lt;0.5, "Complete", "In Progress"))</f>
        <v>Complete</v>
      </c>
      <c r="AQ26" s="22">
        <v>0</v>
      </c>
      <c r="AR26" s="22">
        <f t="shared" si="35"/>
        <v>0</v>
      </c>
      <c r="AS26" s="23" t="str">
        <f>IF(SUMPRODUCT($J$67:AR$67,$J26:AR26)&lt;0.5, "Pending", IF(AR26&lt;0.5, "Complete", "In Progress"))</f>
        <v>Complete</v>
      </c>
      <c r="AT26" s="22">
        <v>0</v>
      </c>
      <c r="AU26" s="22">
        <f t="shared" si="36"/>
        <v>0</v>
      </c>
      <c r="AV26" s="23" t="str">
        <f>IF(SUMPRODUCT($J$67:AU$67,$J26:AU26)&lt;0.5, "Pending", IF(AU26&lt;0.5, "Complete", "In Progress"))</f>
        <v>Complete</v>
      </c>
      <c r="AW26" s="22">
        <v>0</v>
      </c>
      <c r="AX26" s="22">
        <f t="shared" si="37"/>
        <v>0</v>
      </c>
      <c r="AY26" s="23" t="str">
        <f>IF(SUMPRODUCT($J$67:AX$67,$J26:AX26)&lt;0.5, "Pending", IF(AX26&lt;0.5, "Complete", "In Progress"))</f>
        <v>Complete</v>
      </c>
      <c r="AZ26" s="22">
        <v>0</v>
      </c>
      <c r="BA26" s="22" t="e">
        <f>MAX(#REF!-AZ26,0)</f>
        <v>#REF!</v>
      </c>
      <c r="BB26" s="23" t="e">
        <f>IF(SUMPRODUCT($J$67:BA$67,$J26:BA26)&lt;0.5,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IF(SUMPRODUCT($J$67:BD$67,$J26:BD26)&lt;0.5,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IF(SUMPRODUCT($J$67:BG$67,$J26:BG26)&lt;0.5,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IF(SUMPRODUCT($J$67:BJ$67,$J26:BJ26)&lt;0.5,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IF(SUMPRODUCT($J$67:BM$67,$J26:BM26)&lt;0.5,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IF(SUMPRODUCT($J$67:BP$67,$J26:BP26)&lt;0.5,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IF(SUMPRODUCT($J$67:BS$67,$J26:BS26)&lt;0.5,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IF(SUMPRODUCT($J$67:BV$67,$J26:BV26)&lt;0.5,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IF(SUMPRODUCT($J$67:BY$67,$J26:BY26)&lt;0.5,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IF(SUMPRODUCT($J$67:CB$67,$J26:CB26)&lt;0.5, "Pending", IF(CB26&lt;0.5, "Complete", "In Progress"))</f>
        <v>#REF!</v>
      </c>
      <c r="CD26" s="24"/>
      <c r="CE26" s="25">
        <f>SUMPRODUCT($H$67:AY$67,$H26:AY26)</f>
        <v>2</v>
      </c>
    </row>
    <row r="27" spans="1:83" x14ac:dyDescent="0.2">
      <c r="A27" s="16" t="s">
        <v>107</v>
      </c>
      <c r="B27" s="16" t="s">
        <v>123</v>
      </c>
      <c r="C27" s="200" t="s">
        <v>173</v>
      </c>
      <c r="D27" s="17">
        <v>28</v>
      </c>
      <c r="E27" s="168" t="s">
        <v>157</v>
      </c>
      <c r="F27" s="18" t="s">
        <v>148</v>
      </c>
      <c r="G27" s="19" t="e">
        <f t="shared" ca="1" si="0"/>
        <v>#REF!</v>
      </c>
      <c r="H27" s="20">
        <v>1</v>
      </c>
      <c r="I27" s="21">
        <v>4</v>
      </c>
      <c r="J27" s="22">
        <v>0</v>
      </c>
      <c r="K27" s="22">
        <f t="shared" si="24"/>
        <v>4</v>
      </c>
      <c r="L27" s="23" t="str">
        <f>IF(SUMPRODUCT($J$67:K$67,$J27:K27)&lt;0.5, "Pending", IF(K27&lt;0.5, "Complete", "In Progress"))</f>
        <v>Pending</v>
      </c>
      <c r="M27" s="22">
        <v>0</v>
      </c>
      <c r="N27" s="22">
        <f t="shared" si="25"/>
        <v>4</v>
      </c>
      <c r="O27" s="23" t="str">
        <f>IF(SUMPRODUCT($J$67:N$67,$J27:N27)&lt;0.5, "Pending", IF(N27&lt;0.5, "Complete", "In Progress"))</f>
        <v>Pending</v>
      </c>
      <c r="P27" s="22">
        <v>0</v>
      </c>
      <c r="Q27" s="22">
        <f t="shared" si="26"/>
        <v>4</v>
      </c>
      <c r="R27" s="23" t="str">
        <f>IF(SUMPRODUCT($J$67:Q$67,$J27:Q27)&lt;0.5, "Pending", IF(Q27&lt;0.5, "Complete", "In Progress"))</f>
        <v>Pending</v>
      </c>
      <c r="S27" s="22">
        <v>0</v>
      </c>
      <c r="T27" s="22">
        <f t="shared" si="27"/>
        <v>4</v>
      </c>
      <c r="U27" s="23" t="str">
        <f>IF(SUMPRODUCT($J$67:T$67,$J27:T27)&lt;0.5, "Pending", IF(T27&lt;0.5, "Complete", "In Progress"))</f>
        <v>Pending</v>
      </c>
      <c r="V27" s="22">
        <v>0</v>
      </c>
      <c r="W27" s="22">
        <f t="shared" si="28"/>
        <v>4</v>
      </c>
      <c r="X27" s="23" t="str">
        <f>IF(SUMPRODUCT($J$67:W$67,$J27:W27)&lt;0.5, "Pending", IF(W27&lt;0.5, "Complete", "In Progress"))</f>
        <v>Pending</v>
      </c>
      <c r="Y27" s="22">
        <v>1</v>
      </c>
      <c r="Z27" s="22">
        <f t="shared" si="29"/>
        <v>3</v>
      </c>
      <c r="AA27" s="23" t="str">
        <f>IF(SUMPRODUCT($J$67:Z$67,$J27:Z27)&lt;0.5, "Pending", IF(Z27&lt;0.5, "Complete", "In Progress"))</f>
        <v>In Progress</v>
      </c>
      <c r="AB27" s="22">
        <v>2</v>
      </c>
      <c r="AC27" s="22">
        <f t="shared" si="30"/>
        <v>1</v>
      </c>
      <c r="AD27" s="23" t="str">
        <f>IF(SUMPRODUCT($J$67:AC$67,$J27:AC27)&lt;0.5, "Pending", IF(AC27&lt;0.5, "Complete", "In Progress"))</f>
        <v>In Progress</v>
      </c>
      <c r="AE27" s="22">
        <v>1</v>
      </c>
      <c r="AF27" s="22">
        <f t="shared" si="31"/>
        <v>0</v>
      </c>
      <c r="AG27" s="23" t="str">
        <f>IF(SUMPRODUCT($J$67:AF$67,$J27:AF27)&lt;0.5, "Pending", IF(AF27&lt;0.5, "Complete", "In Progress"))</f>
        <v>Complete</v>
      </c>
      <c r="AH27" s="22">
        <v>0</v>
      </c>
      <c r="AI27" s="22">
        <f t="shared" si="32"/>
        <v>0</v>
      </c>
      <c r="AJ27" s="23" t="str">
        <f>IF(SUMPRODUCT($J$67:AI$67,$J27:AI27)&lt;0.5, "Pending", IF(AI27&lt;0.5, "Complete", "In Progress"))</f>
        <v>Complete</v>
      </c>
      <c r="AK27" s="22">
        <v>0</v>
      </c>
      <c r="AL27" s="22">
        <f t="shared" si="33"/>
        <v>0</v>
      </c>
      <c r="AM27" s="23" t="str">
        <f>IF(SUMPRODUCT($J$67:AL$67,$J27:AL27)&lt;0.5, "Pending", IF(AL27&lt;0.5, "Complete", "In Progress"))</f>
        <v>Complete</v>
      </c>
      <c r="AN27" s="22">
        <v>0</v>
      </c>
      <c r="AO27" s="22">
        <f t="shared" si="34"/>
        <v>0</v>
      </c>
      <c r="AP27" s="23" t="str">
        <f>IF(SUMPRODUCT($J$67:AO$67,$J27:AO27)&lt;0.5, "Pending", IF(AO27&lt;0.5, "Complete", "In Progress"))</f>
        <v>Complete</v>
      </c>
      <c r="AQ27" s="22">
        <v>0</v>
      </c>
      <c r="AR27" s="22">
        <f t="shared" si="35"/>
        <v>0</v>
      </c>
      <c r="AS27" s="23" t="str">
        <f>IF(SUMPRODUCT($J$67:AR$67,$J27:AR27)&lt;0.5, "Pending", IF(AR27&lt;0.5, "Complete", "In Progress"))</f>
        <v>Complete</v>
      </c>
      <c r="AT27" s="22">
        <v>0</v>
      </c>
      <c r="AU27" s="22">
        <f t="shared" si="36"/>
        <v>0</v>
      </c>
      <c r="AV27" s="23" t="str">
        <f>IF(SUMPRODUCT($J$67:AU$67,$J27:AU27)&lt;0.5, "Pending", IF(AU27&lt;0.5, "Complete", "In Progress"))</f>
        <v>Complete</v>
      </c>
      <c r="AW27" s="22">
        <v>0</v>
      </c>
      <c r="AX27" s="22">
        <f t="shared" si="37"/>
        <v>0</v>
      </c>
      <c r="AY27" s="23" t="str">
        <f>IF(SUMPRODUCT($J$67:AX$67,$J27:AX27)&lt;0.5, "Pending", IF(AX27&lt;0.5, "Complete", "In Progress"))</f>
        <v>Complete</v>
      </c>
      <c r="AZ27" s="22">
        <v>0</v>
      </c>
      <c r="BA27" s="22" t="e">
        <f>MAX(#REF!-AZ27,0)</f>
        <v>#REF!</v>
      </c>
      <c r="BB27" s="23" t="e">
        <f>IF(SUMPRODUCT($J$67:BA$67,$J27:BA27)&lt;0.5,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IF(SUMPRODUCT($J$67:BD$67,$J27:BD27)&lt;0.5,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IF(SUMPRODUCT($J$67:BG$67,$J27:BG27)&lt;0.5,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IF(SUMPRODUCT($J$67:BJ$67,$J27:BJ27)&lt;0.5,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IF(SUMPRODUCT($J$67:BM$67,$J27:BM27)&lt;0.5,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IF(SUMPRODUCT($J$67:BP$67,$J27:BP27)&lt;0.5,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IF(SUMPRODUCT($J$67:BS$67,$J27:BS27)&lt;0.5,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IF(SUMPRODUCT($J$67:BV$67,$J27:BV27)&lt;0.5,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IF(SUMPRODUCT($J$67:BY$67,$J27:BY27)&lt;0.5,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IF(SUMPRODUCT($J$67:CB$67,$J27:CB27)&lt;0.5, "Pending", IF(CB27&lt;0.5, "Complete", "In Progress"))</f>
        <v>#REF!</v>
      </c>
      <c r="CD27" s="24"/>
      <c r="CE27" s="25">
        <f>SUMPRODUCT($H$67:AY$67,$H27:AY27)</f>
        <v>4</v>
      </c>
    </row>
    <row r="28" spans="1:83" x14ac:dyDescent="0.2">
      <c r="A28" s="16" t="s">
        <v>108</v>
      </c>
      <c r="B28" s="16" t="s">
        <v>124</v>
      </c>
      <c r="C28" s="16" t="s">
        <v>167</v>
      </c>
      <c r="D28" s="17">
        <v>30</v>
      </c>
      <c r="E28" s="168" t="s">
        <v>168</v>
      </c>
      <c r="F28" s="18" t="s">
        <v>144</v>
      </c>
      <c r="G28" s="19" t="e">
        <f t="shared" ca="1" si="0"/>
        <v>#REF!</v>
      </c>
      <c r="H28" s="20">
        <v>1</v>
      </c>
      <c r="I28" s="21">
        <v>4</v>
      </c>
      <c r="J28" s="22">
        <v>0</v>
      </c>
      <c r="K28" s="22">
        <f t="shared" si="24"/>
        <v>4</v>
      </c>
      <c r="L28" s="23" t="str">
        <f>IF(SUMPRODUCT($J$67:K$67,$J28:K28)&lt;0.5, "Pending", IF(K28&lt;0.5, "Complete", "In Progress"))</f>
        <v>Pending</v>
      </c>
      <c r="M28" s="22">
        <v>0</v>
      </c>
      <c r="N28" s="22">
        <f t="shared" si="25"/>
        <v>4</v>
      </c>
      <c r="O28" s="23" t="str">
        <f>IF(SUMPRODUCT($J$67:N$67,$J28:N28)&lt;0.5, "Pending", IF(N28&lt;0.5, "Complete", "In Progress"))</f>
        <v>Pending</v>
      </c>
      <c r="P28" s="22">
        <v>2</v>
      </c>
      <c r="Q28" s="22">
        <f t="shared" si="26"/>
        <v>2</v>
      </c>
      <c r="R28" s="23" t="str">
        <f>IF(SUMPRODUCT($J$67:Q$67,$J28:Q28)&lt;0.5, "Pending", IF(Q28&lt;0.5, "Complete", "In Progress"))</f>
        <v>In Progress</v>
      </c>
      <c r="S28" s="22">
        <v>2</v>
      </c>
      <c r="T28" s="22">
        <f t="shared" si="27"/>
        <v>0</v>
      </c>
      <c r="U28" s="23" t="str">
        <f>IF(SUMPRODUCT($J$67:T$67,$J28:T28)&lt;0.5, "Pending", IF(T28&lt;0.5, "Complete", "In Progress"))</f>
        <v>Complete</v>
      </c>
      <c r="V28" s="22">
        <v>0</v>
      </c>
      <c r="W28" s="22">
        <f t="shared" si="28"/>
        <v>0</v>
      </c>
      <c r="X28" s="23" t="str">
        <f>IF(SUMPRODUCT($J$67:W$67,$J28:W28)&lt;0.5, "Pending", IF(W28&lt;0.5, "Complete", "In Progress"))</f>
        <v>Complete</v>
      </c>
      <c r="Y28" s="22">
        <v>0</v>
      </c>
      <c r="Z28" s="22">
        <f t="shared" si="29"/>
        <v>0</v>
      </c>
      <c r="AA28" s="23" t="str">
        <f>IF(SUMPRODUCT($J$67:Z$67,$J28:Z28)&lt;0.5, "Pending", IF(Z28&lt;0.5, "Complete", "In Progress"))</f>
        <v>Complete</v>
      </c>
      <c r="AB28" s="22">
        <v>0</v>
      </c>
      <c r="AC28" s="22">
        <f t="shared" si="30"/>
        <v>0</v>
      </c>
      <c r="AD28" s="23" t="str">
        <f>IF(SUMPRODUCT($J$67:AC$67,$J28:AC28)&lt;0.5, "Pending", IF(AC28&lt;0.5, "Complete", "In Progress"))</f>
        <v>Complete</v>
      </c>
      <c r="AE28" s="22">
        <v>0</v>
      </c>
      <c r="AF28" s="22">
        <f t="shared" si="31"/>
        <v>0</v>
      </c>
      <c r="AG28" s="23" t="str">
        <f>IF(SUMPRODUCT($J$67:AF$67,$J28:AF28)&lt;0.5, "Pending", IF(AF28&lt;0.5, "Complete", "In Progress"))</f>
        <v>Complete</v>
      </c>
      <c r="AH28" s="22">
        <v>0</v>
      </c>
      <c r="AI28" s="22">
        <f t="shared" si="32"/>
        <v>0</v>
      </c>
      <c r="AJ28" s="23" t="str">
        <f>IF(SUMPRODUCT($J$67:AI$67,$J28:AI28)&lt;0.5, "Pending", IF(AI28&lt;0.5, "Complete", "In Progress"))</f>
        <v>Complete</v>
      </c>
      <c r="AK28" s="22">
        <v>0</v>
      </c>
      <c r="AL28" s="22">
        <f t="shared" si="33"/>
        <v>0</v>
      </c>
      <c r="AM28" s="23" t="str">
        <f>IF(SUMPRODUCT($J$67:AL$67,$J28:AL28)&lt;0.5, "Pending", IF(AL28&lt;0.5, "Complete", "In Progress"))</f>
        <v>Complete</v>
      </c>
      <c r="AN28" s="22">
        <v>0</v>
      </c>
      <c r="AO28" s="22">
        <f t="shared" si="34"/>
        <v>0</v>
      </c>
      <c r="AP28" s="23" t="str">
        <f>IF(SUMPRODUCT($J$67:AO$67,$J28:AO28)&lt;0.5, "Pending", IF(AO28&lt;0.5, "Complete", "In Progress"))</f>
        <v>Complete</v>
      </c>
      <c r="AQ28" s="22">
        <v>0</v>
      </c>
      <c r="AR28" s="22">
        <f t="shared" si="35"/>
        <v>0</v>
      </c>
      <c r="AS28" s="23" t="str">
        <f>IF(SUMPRODUCT($J$67:AR$67,$J28:AR28)&lt;0.5, "Pending", IF(AR28&lt;0.5, "Complete", "In Progress"))</f>
        <v>Complete</v>
      </c>
      <c r="AT28" s="22">
        <v>0</v>
      </c>
      <c r="AU28" s="22">
        <f t="shared" si="36"/>
        <v>0</v>
      </c>
      <c r="AV28" s="23" t="str">
        <f>IF(SUMPRODUCT($J$67:AU$67,$J28:AU28)&lt;0.5, "Pending", IF(AU28&lt;0.5, "Complete", "In Progress"))</f>
        <v>Complete</v>
      </c>
      <c r="AW28" s="22">
        <v>0</v>
      </c>
      <c r="AX28" s="22">
        <f t="shared" si="37"/>
        <v>0</v>
      </c>
      <c r="AY28" s="23" t="str">
        <f>IF(SUMPRODUCT($J$67:AX$67,$J28:AX28)&lt;0.5, "Pending", IF(AX28&lt;0.5, "Complete", "In Progress"))</f>
        <v>Complete</v>
      </c>
      <c r="AZ28" s="22">
        <v>0</v>
      </c>
      <c r="BA28" s="22" t="e">
        <f>MAX(#REF!-AZ28,0)</f>
        <v>#REF!</v>
      </c>
      <c r="BB28" s="23" t="e">
        <f>IF(SUMPRODUCT($J$67:BA$67,$J28:BA28)&lt;0.5,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IF(SUMPRODUCT($J$67:BD$67,$J28:BD28)&lt;0.5,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IF(SUMPRODUCT($J$67:BG$67,$J28:BG28)&lt;0.5,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IF(SUMPRODUCT($J$67:BJ$67,$J28:BJ28)&lt;0.5,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IF(SUMPRODUCT($J$67:BM$67,$J28:BM28)&lt;0.5,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IF(SUMPRODUCT($J$67:BP$67,$J28:BP28)&lt;0.5,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IF(SUMPRODUCT($J$67:BS$67,$J28:BS28)&lt;0.5,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IF(SUMPRODUCT($J$67:BV$67,$J28:BV28)&lt;0.5,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IF(SUMPRODUCT($J$67:BY$67,$J28:BY28)&lt;0.5,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IF(SUMPRODUCT($J$67:CB$67,$J28:CB28)&lt;0.5, "Pending", IF(CB28&lt;0.5, "Complete", "In Progress"))</f>
        <v>#REF!</v>
      </c>
      <c r="CD28" s="24"/>
      <c r="CE28" s="25">
        <f>SUMPRODUCT($H$67:AY$67,$H28:AY28)</f>
        <v>4</v>
      </c>
    </row>
    <row r="29" spans="1:83" x14ac:dyDescent="0.2">
      <c r="A29" s="16" t="s">
        <v>108</v>
      </c>
      <c r="B29" s="16" t="s">
        <v>124</v>
      </c>
      <c r="C29" s="200" t="s">
        <v>169</v>
      </c>
      <c r="D29" s="17">
        <v>31</v>
      </c>
      <c r="E29" s="168" t="s">
        <v>170</v>
      </c>
      <c r="F29" s="18" t="s">
        <v>148</v>
      </c>
      <c r="G29" s="19" t="e">
        <f t="shared" ca="1" si="0"/>
        <v>#REF!</v>
      </c>
      <c r="H29" s="20">
        <v>1</v>
      </c>
      <c r="I29" s="21">
        <v>4</v>
      </c>
      <c r="J29" s="22">
        <v>0</v>
      </c>
      <c r="K29" s="22">
        <f t="shared" si="24"/>
        <v>4</v>
      </c>
      <c r="L29" s="23" t="str">
        <f>IF(SUMPRODUCT($J$67:K$67,$J29:K29)&lt;0.5, "Pending", IF(K29&lt;0.5, "Complete", "In Progress"))</f>
        <v>Pending</v>
      </c>
      <c r="M29" s="22">
        <v>0</v>
      </c>
      <c r="N29" s="22">
        <f t="shared" si="25"/>
        <v>4</v>
      </c>
      <c r="O29" s="23" t="str">
        <f>IF(SUMPRODUCT($J$67:N$67,$J29:N29)&lt;0.5, "Pending", IF(N29&lt;0.5, "Complete", "In Progress"))</f>
        <v>Pending</v>
      </c>
      <c r="P29" s="22">
        <v>0</v>
      </c>
      <c r="Q29" s="22">
        <f t="shared" si="26"/>
        <v>4</v>
      </c>
      <c r="R29" s="23" t="str">
        <f>IF(SUMPRODUCT($J$67:Q$67,$J29:Q29)&lt;0.5, "Pending", IF(Q29&lt;0.5, "Complete", "In Progress"))</f>
        <v>Pending</v>
      </c>
      <c r="S29" s="22">
        <v>2</v>
      </c>
      <c r="T29" s="22">
        <f t="shared" si="27"/>
        <v>2</v>
      </c>
      <c r="U29" s="23" t="str">
        <f>IF(SUMPRODUCT($J$67:T$67,$J29:T29)&lt;0.5, "Pending", IF(T29&lt;0.5, "Complete", "In Progress"))</f>
        <v>In Progress</v>
      </c>
      <c r="V29" s="22">
        <v>2</v>
      </c>
      <c r="W29" s="22">
        <f t="shared" si="28"/>
        <v>0</v>
      </c>
      <c r="X29" s="23" t="str">
        <f>IF(SUMPRODUCT($J$67:W$67,$J29:W29)&lt;0.5, "Pending", IF(W29&lt;0.5, "Complete", "In Progress"))</f>
        <v>Complete</v>
      </c>
      <c r="Y29" s="22">
        <v>0</v>
      </c>
      <c r="Z29" s="22">
        <f t="shared" si="29"/>
        <v>0</v>
      </c>
      <c r="AA29" s="23" t="str">
        <f>IF(SUMPRODUCT($J$67:Z$67,$J29:Z29)&lt;0.5, "Pending", IF(Z29&lt;0.5, "Complete", "In Progress"))</f>
        <v>Complete</v>
      </c>
      <c r="AB29" s="22">
        <v>0</v>
      </c>
      <c r="AC29" s="22">
        <f t="shared" si="30"/>
        <v>0</v>
      </c>
      <c r="AD29" s="23" t="str">
        <f>IF(SUMPRODUCT($J$67:AC$67,$J29:AC29)&lt;0.5, "Pending", IF(AC29&lt;0.5, "Complete", "In Progress"))</f>
        <v>Complete</v>
      </c>
      <c r="AE29" s="22">
        <v>0</v>
      </c>
      <c r="AF29" s="22">
        <f t="shared" si="31"/>
        <v>0</v>
      </c>
      <c r="AG29" s="23" t="str">
        <f>IF(SUMPRODUCT($J$67:AF$67,$J29:AF29)&lt;0.5, "Pending", IF(AF29&lt;0.5, "Complete", "In Progress"))</f>
        <v>Complete</v>
      </c>
      <c r="AH29" s="22">
        <v>0</v>
      </c>
      <c r="AI29" s="22">
        <f t="shared" si="32"/>
        <v>0</v>
      </c>
      <c r="AJ29" s="23" t="str">
        <f>IF(SUMPRODUCT($J$67:AI$67,$J29:AI29)&lt;0.5, "Pending", IF(AI29&lt;0.5, "Complete", "In Progress"))</f>
        <v>Complete</v>
      </c>
      <c r="AK29" s="22">
        <v>0</v>
      </c>
      <c r="AL29" s="22">
        <f t="shared" si="33"/>
        <v>0</v>
      </c>
      <c r="AM29" s="23" t="str">
        <f>IF(SUMPRODUCT($J$67:AL$67,$J29:AL29)&lt;0.5, "Pending", IF(AL29&lt;0.5, "Complete", "In Progress"))</f>
        <v>Complete</v>
      </c>
      <c r="AN29" s="22">
        <v>0</v>
      </c>
      <c r="AO29" s="22">
        <f t="shared" si="34"/>
        <v>0</v>
      </c>
      <c r="AP29" s="23" t="str">
        <f>IF(SUMPRODUCT($J$67:AO$67,$J29:AO29)&lt;0.5, "Pending", IF(AO29&lt;0.5, "Complete", "In Progress"))</f>
        <v>Complete</v>
      </c>
      <c r="AQ29" s="22">
        <v>0</v>
      </c>
      <c r="AR29" s="22">
        <f t="shared" si="35"/>
        <v>0</v>
      </c>
      <c r="AS29" s="23" t="str">
        <f>IF(SUMPRODUCT($J$67:AR$67,$J29:AR29)&lt;0.5, "Pending", IF(AR29&lt;0.5, "Complete", "In Progress"))</f>
        <v>Complete</v>
      </c>
      <c r="AT29" s="22">
        <v>0</v>
      </c>
      <c r="AU29" s="22">
        <f t="shared" si="36"/>
        <v>0</v>
      </c>
      <c r="AV29" s="23" t="str">
        <f>IF(SUMPRODUCT($J$67:AU$67,$J29:AU29)&lt;0.5, "Pending", IF(AU29&lt;0.5, "Complete", "In Progress"))</f>
        <v>Complete</v>
      </c>
      <c r="AW29" s="22">
        <v>0</v>
      </c>
      <c r="AX29" s="22">
        <f t="shared" si="37"/>
        <v>0</v>
      </c>
      <c r="AY29" s="23" t="str">
        <f>IF(SUMPRODUCT($J$67:AX$67,$J29:AX29)&lt;0.5, "Pending", IF(AX29&lt;0.5, "Complete", "In Progress"))</f>
        <v>Complete</v>
      </c>
      <c r="AZ29" s="22">
        <v>0</v>
      </c>
      <c r="BA29" s="22" t="e">
        <f>MAX(#REF!-AZ29,0)</f>
        <v>#REF!</v>
      </c>
      <c r="BB29" s="23" t="e">
        <f>IF(SUMPRODUCT($J$67:BA$67,$J29:BA29)&lt;0.5,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IF(SUMPRODUCT($J$67:BD$67,$J29:BD29)&lt;0.5,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IF(SUMPRODUCT($J$67:BG$67,$J29:BG29)&lt;0.5,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IF(SUMPRODUCT($J$67:BJ$67,$J29:BJ29)&lt;0.5,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IF(SUMPRODUCT($J$67:BM$67,$J29:BM29)&lt;0.5,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IF(SUMPRODUCT($J$67:BP$67,$J29:BP29)&lt;0.5,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IF(SUMPRODUCT($J$67:BS$67,$J29:BS29)&lt;0.5,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IF(SUMPRODUCT($J$67:BV$67,$J29:BV29)&lt;0.5,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IF(SUMPRODUCT($J$67:BY$67,$J29:BY29)&lt;0.5,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IF(SUMPRODUCT($J$67:CB$67,$J29:CB29)&lt;0.5, "Pending", IF(CB29&lt;0.5, "Complete", "In Progress"))</f>
        <v>#REF!</v>
      </c>
      <c r="CD29" s="24"/>
      <c r="CE29" s="25">
        <f>SUMPRODUCT($H$67:AY$67,$H29:AY29)</f>
        <v>4</v>
      </c>
    </row>
    <row r="30" spans="1:83" x14ac:dyDescent="0.2">
      <c r="A30" s="16" t="s">
        <v>105</v>
      </c>
      <c r="B30" s="16" t="s">
        <v>122</v>
      </c>
      <c r="C30" s="16" t="s">
        <v>175</v>
      </c>
      <c r="D30" s="17">
        <v>32</v>
      </c>
      <c r="E30" s="168" t="s">
        <v>176</v>
      </c>
      <c r="F30" s="18" t="s">
        <v>135</v>
      </c>
      <c r="G30" s="19" t="e">
        <f t="shared" ca="1" si="0"/>
        <v>#REF!</v>
      </c>
      <c r="H30" s="20">
        <v>1</v>
      </c>
      <c r="I30" s="21">
        <v>8</v>
      </c>
      <c r="J30" s="22">
        <v>0</v>
      </c>
      <c r="K30" s="22">
        <f t="shared" si="24"/>
        <v>8</v>
      </c>
      <c r="L30" s="23" t="str">
        <f>IF(SUMPRODUCT($J$67:K$67,$J30:K30)&lt;0.5, "Pending", IF(K30&lt;0.5, "Complete", "In Progress"))</f>
        <v>Pending</v>
      </c>
      <c r="M30" s="22">
        <v>0</v>
      </c>
      <c r="N30" s="22">
        <f t="shared" si="25"/>
        <v>8</v>
      </c>
      <c r="O30" s="23" t="str">
        <f>IF(SUMPRODUCT($J$67:N$67,$J30:N30)&lt;0.5, "Pending", IF(N30&lt;0.5, "Complete", "In Progress"))</f>
        <v>Pending</v>
      </c>
      <c r="P30" s="22">
        <v>0</v>
      </c>
      <c r="Q30" s="22">
        <f t="shared" si="26"/>
        <v>8</v>
      </c>
      <c r="R30" s="23" t="str">
        <f>IF(SUMPRODUCT($J$67:Q$67,$J30:Q30)&lt;0.5, "Pending", IF(Q30&lt;0.5, "Complete", "In Progress"))</f>
        <v>Pending</v>
      </c>
      <c r="S30" s="22">
        <v>0</v>
      </c>
      <c r="T30" s="22">
        <f t="shared" si="27"/>
        <v>8</v>
      </c>
      <c r="U30" s="23" t="str">
        <f>IF(SUMPRODUCT($J$67:T$67,$J30:T30)&lt;0.5, "Pending", IF(T30&lt;0.5, "Complete", "In Progress"))</f>
        <v>Pending</v>
      </c>
      <c r="V30" s="22">
        <v>0</v>
      </c>
      <c r="W30" s="22">
        <f t="shared" si="28"/>
        <v>8</v>
      </c>
      <c r="X30" s="23" t="str">
        <f>IF(SUMPRODUCT($J$67:W$67,$J30:W30)&lt;0.5, "Pending", IF(W30&lt;0.5, "Complete", "In Progress"))</f>
        <v>Pending</v>
      </c>
      <c r="Y30" s="22">
        <v>2</v>
      </c>
      <c r="Z30" s="22">
        <f t="shared" si="29"/>
        <v>6</v>
      </c>
      <c r="AA30" s="23" t="str">
        <f>IF(SUMPRODUCT($J$67:Z$67,$J30:Z30)&lt;0.5, "Pending", IF(Z30&lt;0.5, "Complete", "In Progress"))</f>
        <v>In Progress</v>
      </c>
      <c r="AB30" s="22">
        <v>2</v>
      </c>
      <c r="AC30" s="22">
        <f t="shared" si="30"/>
        <v>4</v>
      </c>
      <c r="AD30" s="23" t="str">
        <f>IF(SUMPRODUCT($J$67:AC$67,$J30:AC30)&lt;0.5, "Pending", IF(AC30&lt;0.5, "Complete", "In Progress"))</f>
        <v>In Progress</v>
      </c>
      <c r="AE30" s="22">
        <v>2</v>
      </c>
      <c r="AF30" s="22">
        <f t="shared" si="31"/>
        <v>2</v>
      </c>
      <c r="AG30" s="23" t="str">
        <f>IF(SUMPRODUCT($J$67:AF$67,$J30:AF30)&lt;0.5, "Pending", IF(AF30&lt;0.5, "Complete", "In Progress"))</f>
        <v>In Progress</v>
      </c>
      <c r="AH30" s="22">
        <v>2</v>
      </c>
      <c r="AI30" s="22">
        <f t="shared" si="32"/>
        <v>0</v>
      </c>
      <c r="AJ30" s="23" t="str">
        <f>IF(SUMPRODUCT($J$67:AI$67,$J30:AI30)&lt;0.5, "Pending", IF(AI30&lt;0.5, "Complete", "In Progress"))</f>
        <v>Complete</v>
      </c>
      <c r="AK30" s="22">
        <v>0</v>
      </c>
      <c r="AL30" s="22">
        <f t="shared" si="33"/>
        <v>0</v>
      </c>
      <c r="AM30" s="23" t="str">
        <f>IF(SUMPRODUCT($J$67:AL$67,$J30:AL30)&lt;0.5, "Pending", IF(AL30&lt;0.5, "Complete", "In Progress"))</f>
        <v>Complete</v>
      </c>
      <c r="AN30" s="22">
        <v>0</v>
      </c>
      <c r="AO30" s="22">
        <f t="shared" si="34"/>
        <v>0</v>
      </c>
      <c r="AP30" s="23" t="str">
        <f>IF(SUMPRODUCT($J$67:AO$67,$J30:AO30)&lt;0.5, "Pending", IF(AO30&lt;0.5, "Complete", "In Progress"))</f>
        <v>Complete</v>
      </c>
      <c r="AQ30" s="22">
        <v>0</v>
      </c>
      <c r="AR30" s="22">
        <f t="shared" si="35"/>
        <v>0</v>
      </c>
      <c r="AS30" s="23" t="str">
        <f>IF(SUMPRODUCT($J$67:AR$67,$J30:AR30)&lt;0.5, "Pending", IF(AR30&lt;0.5, "Complete", "In Progress"))</f>
        <v>Complete</v>
      </c>
      <c r="AT30" s="22">
        <v>0</v>
      </c>
      <c r="AU30" s="22">
        <f t="shared" si="36"/>
        <v>0</v>
      </c>
      <c r="AV30" s="23" t="str">
        <f>IF(SUMPRODUCT($J$67:AU$67,$J30:AU30)&lt;0.5, "Pending", IF(AU30&lt;0.5, "Complete", "In Progress"))</f>
        <v>Complete</v>
      </c>
      <c r="AW30" s="22">
        <v>0</v>
      </c>
      <c r="AX30" s="22">
        <f t="shared" si="37"/>
        <v>0</v>
      </c>
      <c r="AY30" s="23" t="str">
        <f>IF(SUMPRODUCT($J$67:AX$67,$J30:AX30)&lt;0.5, "Pending", IF(AX30&lt;0.5, "Complete", "In Progress"))</f>
        <v>Complete</v>
      </c>
      <c r="AZ30" s="22">
        <v>0</v>
      </c>
      <c r="BA30" s="22" t="e">
        <f>MAX(#REF!-AZ30,0)</f>
        <v>#REF!</v>
      </c>
      <c r="BB30" s="23" t="e">
        <f>IF(SUMPRODUCT($J$67:BA$67,$J30:BA30)&lt;0.5,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IF(SUMPRODUCT($J$67:BD$67,$J30:BD30)&lt;0.5,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IF(SUMPRODUCT($J$67:BG$67,$J30:BG30)&lt;0.5,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IF(SUMPRODUCT($J$67:BJ$67,$J30:BJ30)&lt;0.5,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IF(SUMPRODUCT($J$67:BM$67,$J30:BM30)&lt;0.5,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IF(SUMPRODUCT($J$67:BP$67,$J30:BP30)&lt;0.5,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IF(SUMPRODUCT($J$67:BS$67,$J30:BS30)&lt;0.5,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IF(SUMPRODUCT($J$67:BV$67,$J30:BV30)&lt;0.5,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IF(SUMPRODUCT($J$67:BY$67,$J30:BY30)&lt;0.5,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IF(SUMPRODUCT($J$67:CB$67,$J30:CB30)&lt;0.5, "Pending", IF(CB30&lt;0.5, "Complete", "In Progress"))</f>
        <v>#REF!</v>
      </c>
      <c r="CD30" s="24"/>
      <c r="CE30" s="25">
        <f>SUMPRODUCT($H$67:AY$67,$H30:AY30)</f>
        <v>8</v>
      </c>
    </row>
    <row r="31" spans="1:83" x14ac:dyDescent="0.2">
      <c r="A31" s="16" t="s">
        <v>108</v>
      </c>
      <c r="B31" s="16" t="s">
        <v>124</v>
      </c>
      <c r="C31" s="16" t="s">
        <v>175</v>
      </c>
      <c r="D31" s="17">
        <v>33</v>
      </c>
      <c r="E31" s="168" t="s">
        <v>177</v>
      </c>
      <c r="F31" s="18" t="s">
        <v>144</v>
      </c>
      <c r="G31" s="19" t="e">
        <f t="shared" ca="1" si="0"/>
        <v>#REF!</v>
      </c>
      <c r="H31" s="20">
        <v>1</v>
      </c>
      <c r="I31" s="21">
        <v>3</v>
      </c>
      <c r="J31" s="22">
        <v>0</v>
      </c>
      <c r="K31" s="22">
        <f t="shared" si="24"/>
        <v>3</v>
      </c>
      <c r="L31" s="23" t="str">
        <f>IF(SUMPRODUCT($J$67:K$67,$J31:K31)&lt;0.5, "Pending", IF(K31&lt;0.5, "Complete", "In Progress"))</f>
        <v>Pending</v>
      </c>
      <c r="M31" s="22">
        <v>0</v>
      </c>
      <c r="N31" s="22">
        <f t="shared" si="25"/>
        <v>3</v>
      </c>
      <c r="O31" s="23" t="str">
        <f>IF(SUMPRODUCT($J$67:N$67,$J31:N31)&lt;0.5, "Pending", IF(N31&lt;0.5, "Complete", "In Progress"))</f>
        <v>Pending</v>
      </c>
      <c r="P31" s="22">
        <v>0</v>
      </c>
      <c r="Q31" s="22">
        <f t="shared" si="26"/>
        <v>3</v>
      </c>
      <c r="R31" s="23" t="str">
        <f>IF(SUMPRODUCT($J$67:Q$67,$J31:Q31)&lt;0.5, "Pending", IF(Q31&lt;0.5, "Complete", "In Progress"))</f>
        <v>Pending</v>
      </c>
      <c r="S31" s="22">
        <v>0</v>
      </c>
      <c r="T31" s="22">
        <f t="shared" si="27"/>
        <v>3</v>
      </c>
      <c r="U31" s="23" t="str">
        <f>IF(SUMPRODUCT($J$67:T$67,$J31:T31)&lt;0.5, "Pending", IF(T31&lt;0.5, "Complete", "In Progress"))</f>
        <v>Pending</v>
      </c>
      <c r="V31" s="22">
        <v>0</v>
      </c>
      <c r="W31" s="22">
        <f t="shared" si="28"/>
        <v>3</v>
      </c>
      <c r="X31" s="23" t="str">
        <f>IF(SUMPRODUCT($J$67:W$67,$J31:W31)&lt;0.5, "Pending", IF(W31&lt;0.5, "Complete", "In Progress"))</f>
        <v>Pending</v>
      </c>
      <c r="Y31" s="22">
        <v>1</v>
      </c>
      <c r="Z31" s="22">
        <f t="shared" si="29"/>
        <v>2</v>
      </c>
      <c r="AA31" s="23" t="str">
        <f>IF(SUMPRODUCT($J$67:Z$67,$J31:Z31)&lt;0.5, "Pending", IF(Z31&lt;0.5, "Complete", "In Progress"))</f>
        <v>In Progress</v>
      </c>
      <c r="AB31" s="22">
        <v>2</v>
      </c>
      <c r="AC31" s="22">
        <f t="shared" si="30"/>
        <v>0</v>
      </c>
      <c r="AD31" s="23" t="str">
        <f>IF(SUMPRODUCT($J$67:AC$67,$J31:AC31)&lt;0.5, "Pending", IF(AC31&lt;0.5, "Complete", "In Progress"))</f>
        <v>Complete</v>
      </c>
      <c r="AE31" s="22">
        <v>0</v>
      </c>
      <c r="AF31" s="22">
        <f t="shared" si="31"/>
        <v>0</v>
      </c>
      <c r="AG31" s="23" t="str">
        <f>IF(SUMPRODUCT($J$67:AF$67,$J31:AF31)&lt;0.5, "Pending", IF(AF31&lt;0.5, "Complete", "In Progress"))</f>
        <v>Complete</v>
      </c>
      <c r="AH31" s="22">
        <v>0</v>
      </c>
      <c r="AI31" s="22">
        <f t="shared" si="32"/>
        <v>0</v>
      </c>
      <c r="AJ31" s="23" t="str">
        <f>IF(SUMPRODUCT($J$67:AI$67,$J31:AI31)&lt;0.5, "Pending", IF(AI31&lt;0.5, "Complete", "In Progress"))</f>
        <v>Complete</v>
      </c>
      <c r="AK31" s="22">
        <v>0</v>
      </c>
      <c r="AL31" s="22">
        <f t="shared" si="33"/>
        <v>0</v>
      </c>
      <c r="AM31" s="23" t="str">
        <f>IF(SUMPRODUCT($J$67:AL$67,$J31:AL31)&lt;0.5, "Pending", IF(AL31&lt;0.5, "Complete", "In Progress"))</f>
        <v>Complete</v>
      </c>
      <c r="AN31" s="22">
        <v>0</v>
      </c>
      <c r="AO31" s="22">
        <f t="shared" si="34"/>
        <v>0</v>
      </c>
      <c r="AP31" s="23" t="str">
        <f>IF(SUMPRODUCT($J$67:AO$67,$J31:AO31)&lt;0.5, "Pending", IF(AO31&lt;0.5, "Complete", "In Progress"))</f>
        <v>Complete</v>
      </c>
      <c r="AQ31" s="22">
        <v>0</v>
      </c>
      <c r="AR31" s="22">
        <f t="shared" si="35"/>
        <v>0</v>
      </c>
      <c r="AS31" s="23" t="str">
        <f>IF(SUMPRODUCT($J$67:AR$67,$J31:AR31)&lt;0.5, "Pending", IF(AR31&lt;0.5, "Complete", "In Progress"))</f>
        <v>Complete</v>
      </c>
      <c r="AT31" s="22">
        <v>0</v>
      </c>
      <c r="AU31" s="22">
        <f t="shared" si="36"/>
        <v>0</v>
      </c>
      <c r="AV31" s="23" t="str">
        <f>IF(SUMPRODUCT($J$67:AU$67,$J31:AU31)&lt;0.5, "Pending", IF(AU31&lt;0.5, "Complete", "In Progress"))</f>
        <v>Complete</v>
      </c>
      <c r="AW31" s="22">
        <v>0</v>
      </c>
      <c r="AX31" s="22">
        <f t="shared" si="37"/>
        <v>0</v>
      </c>
      <c r="AY31" s="23" t="str">
        <f>IF(SUMPRODUCT($J$67:AX$67,$J31:AX31)&lt;0.5, "Pending", IF(AX31&lt;0.5, "Complete", "In Progress"))</f>
        <v>Complete</v>
      </c>
      <c r="AZ31" s="22">
        <v>0</v>
      </c>
      <c r="BA31" s="22" t="e">
        <f>MAX(#REF!-AZ31,0)</f>
        <v>#REF!</v>
      </c>
      <c r="BB31" s="23" t="e">
        <f>IF(SUMPRODUCT($J$67:BA$67,$J31:BA31)&lt;0.5,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IF(SUMPRODUCT($J$67:BD$67,$J31:BD31)&lt;0.5,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IF(SUMPRODUCT($J$67:BG$67,$J31:BG31)&lt;0.5,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IF(SUMPRODUCT($J$67:BJ$67,$J31:BJ31)&lt;0.5,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IF(SUMPRODUCT($J$67:BM$67,$J31:BM31)&lt;0.5,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IF(SUMPRODUCT($J$67:BP$67,$J31:BP31)&lt;0.5,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IF(SUMPRODUCT($J$67:BS$67,$J31:BS31)&lt;0.5,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IF(SUMPRODUCT($J$67:BV$67,$J31:BV31)&lt;0.5,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IF(SUMPRODUCT($J$67:BY$67,$J31:BY31)&lt;0.5,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IF(SUMPRODUCT($J$67:CB$67,$J31:CB31)&lt;0.5, "Pending", IF(CB31&lt;0.5, "Complete", "In Progress"))</f>
        <v>#REF!</v>
      </c>
      <c r="CD31" s="24"/>
      <c r="CE31" s="25">
        <f>SUMPRODUCT($H$67:AY$67,$H31:AY31)</f>
        <v>3</v>
      </c>
    </row>
    <row r="32" spans="1:83" x14ac:dyDescent="0.2">
      <c r="A32" s="16"/>
      <c r="B32" s="16"/>
      <c r="C32" s="16"/>
      <c r="D32" s="17"/>
      <c r="E32" s="168"/>
      <c r="F32" s="18" t="s">
        <v>133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IF(SUMPRODUCT($J$67:K$67,$J32:K32)&lt;0.5,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IF(SUMPRODUCT($J$67:N$67,$J32:N32)&lt;0.5,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IF(SUMPRODUCT($J$67:Q$67,$J32:Q32)&lt;0.5,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IF(SUMPRODUCT($J$67:T$67,$J32:T32)&lt;0.5,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IF(SUMPRODUCT($J$67:W$67,$J32:W32)&lt;0.5,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IF(SUMPRODUCT($J$67:Z$67,$J32:Z32)&lt;0.5,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IF(SUMPRODUCT($J$67:AC$67,$J32:AC32)&lt;0.5,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IF(SUMPRODUCT($J$67:AF$67,$J32:AF32)&lt;0.5,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IF(SUMPRODUCT($J$67:AI$67,$J32:AI32)&lt;0.5,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IF(SUMPRODUCT($J$67:AL$67,$J32:AL32)&lt;0.5,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IF(SUMPRODUCT($J$67:AO$67,$J32:AO32)&lt;0.5,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IF(SUMPRODUCT($J$67:AR$67,$J32:AR32)&lt;0.5,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IF(SUMPRODUCT($J$67:AU$67,$J32:AU32)&lt;0.5,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IF(SUMPRODUCT($J$67:AX$67,$J32:AX32)&lt;0.5,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IF(SUMPRODUCT($J$67:BA$67,$J32:BA32)&lt;0.5,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IF(SUMPRODUCT($J$67:BD$67,$J32:BD32)&lt;0.5,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IF(SUMPRODUCT($J$67:BG$67,$J32:BG32)&lt;0.5,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IF(SUMPRODUCT($J$67:BJ$67,$J32:BJ32)&lt;0.5,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IF(SUMPRODUCT($J$67:BM$67,$J32:BM32)&lt;0.5,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IF(SUMPRODUCT($J$67:BP$67,$J32:BP32)&lt;0.5,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IF(SUMPRODUCT($J$67:BS$67,$J32:BS32)&lt;0.5,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IF(SUMPRODUCT($J$67:BV$67,$J32:BV32)&lt;0.5,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IF(SUMPRODUCT($J$67:BY$67,$J32:BY32)&lt;0.5,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IF(SUMPRODUCT($J$67:CB$67,$J32:CB32)&lt;0.5, "Pending", IF(CB32&lt;0.5, "Complete", "In Progress"))</f>
        <v>#REF!</v>
      </c>
      <c r="CD32" s="24"/>
      <c r="CE32" s="25">
        <f>SUMPRODUCT($H$67:AY$67,$H32:AY32)</f>
        <v>0</v>
      </c>
    </row>
    <row r="33" spans="1:83" x14ac:dyDescent="0.2">
      <c r="A33" s="16"/>
      <c r="B33" s="16"/>
      <c r="C33" s="16"/>
      <c r="D33" s="17"/>
      <c r="E33" s="168"/>
      <c r="F33" s="18" t="s">
        <v>133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IF(SUMPRODUCT($J$67:K$67,$J33:K33)&lt;0.5,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IF(SUMPRODUCT($J$67:N$67,$J33:N33)&lt;0.5,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IF(SUMPRODUCT($J$67:Q$67,$J33:Q33)&lt;0.5,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IF(SUMPRODUCT($J$67:T$67,$J33:T33)&lt;0.5,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IF(SUMPRODUCT($J$67:W$67,$J33:W33)&lt;0.5,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IF(SUMPRODUCT($J$67:Z$67,$J33:Z33)&lt;0.5,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IF(SUMPRODUCT($J$67:AC$67,$J33:AC33)&lt;0.5,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IF(SUMPRODUCT($J$67:AF$67,$J33:AF33)&lt;0.5,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IF(SUMPRODUCT($J$67:AI$67,$J33:AI33)&lt;0.5,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IF(SUMPRODUCT($J$67:AL$67,$J33:AL33)&lt;0.5,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IF(SUMPRODUCT($J$67:AO$67,$J33:AO33)&lt;0.5,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IF(SUMPRODUCT($J$67:AR$67,$J33:AR33)&lt;0.5,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IF(SUMPRODUCT($J$67:AU$67,$J33:AU33)&lt;0.5,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IF(SUMPRODUCT($J$67:AX$67,$J33:AX33)&lt;0.5,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IF(SUMPRODUCT($J$67:BA$67,$J33:BA33)&lt;0.5,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IF(SUMPRODUCT($J$67:BD$67,$J33:BD33)&lt;0.5,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IF(SUMPRODUCT($J$67:BG$67,$J33:BG33)&lt;0.5,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IF(SUMPRODUCT($J$67:BJ$67,$J33:BJ33)&lt;0.5,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IF(SUMPRODUCT($J$67:BM$67,$J33:BM33)&lt;0.5,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IF(SUMPRODUCT($J$67:BP$67,$J33:BP33)&lt;0.5,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IF(SUMPRODUCT($J$67:BS$67,$J33:BS33)&lt;0.5,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IF(SUMPRODUCT($J$67:BV$67,$J33:BV33)&lt;0.5,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IF(SUMPRODUCT($J$67:BY$67,$J33:BY33)&lt;0.5,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IF(SUMPRODUCT($J$67:CB$67,$J33:CB33)&lt;0.5, "Pending", IF(CB33&lt;0.5, "Complete", "In Progress"))</f>
        <v>#REF!</v>
      </c>
      <c r="CD33" s="24"/>
      <c r="CE33" s="25">
        <f>SUMPRODUCT($H$67:AY$67,$H33:AY33)</f>
        <v>0</v>
      </c>
    </row>
    <row r="34" spans="1:83" x14ac:dyDescent="0.2">
      <c r="A34" s="16"/>
      <c r="B34" s="16"/>
      <c r="C34" s="16"/>
      <c r="D34" s="17"/>
      <c r="E34" s="168"/>
      <c r="F34" s="18" t="s">
        <v>133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IF(SUMPRODUCT($J$67:K$67,$J34:K34)&lt;0.5,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IF(SUMPRODUCT($J$67:N$67,$J34:N34)&lt;0.5,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IF(SUMPRODUCT($J$67:Q$67,$J34:Q34)&lt;0.5,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IF(SUMPRODUCT($J$67:T$67,$J34:T34)&lt;0.5,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IF(SUMPRODUCT($J$67:W$67,$J34:W34)&lt;0.5,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IF(SUMPRODUCT($J$67:Z$67,$J34:Z34)&lt;0.5,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IF(SUMPRODUCT($J$67:AC$67,$J34:AC34)&lt;0.5,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IF(SUMPRODUCT($J$67:AF$67,$J34:AF34)&lt;0.5,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IF(SUMPRODUCT($J$67:AI$67,$J34:AI34)&lt;0.5,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IF(SUMPRODUCT($J$67:AL$67,$J34:AL34)&lt;0.5,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IF(SUMPRODUCT($J$67:AO$67,$J34:AO34)&lt;0.5,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IF(SUMPRODUCT($J$67:AR$67,$J34:AR34)&lt;0.5,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IF(SUMPRODUCT($J$67:AU$67,$J34:AU34)&lt;0.5,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IF(SUMPRODUCT($J$67:AX$67,$J34:AX34)&lt;0.5,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IF(SUMPRODUCT($J$67:BA$67,$J34:BA34)&lt;0.5,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IF(SUMPRODUCT($J$67:BD$67,$J34:BD34)&lt;0.5,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IF(SUMPRODUCT($J$67:BG$67,$J34:BG34)&lt;0.5,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IF(SUMPRODUCT($J$67:BJ$67,$J34:BJ34)&lt;0.5,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IF(SUMPRODUCT($J$67:BM$67,$J34:BM34)&lt;0.5,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IF(SUMPRODUCT($J$67:BP$67,$J34:BP34)&lt;0.5,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IF(SUMPRODUCT($J$67:BS$67,$J34:BS34)&lt;0.5,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IF(SUMPRODUCT($J$67:BV$67,$J34:BV34)&lt;0.5,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IF(SUMPRODUCT($J$67:BY$67,$J34:BY34)&lt;0.5,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IF(SUMPRODUCT($J$67:CB$67,$J34:CB34)&lt;0.5, "Pending", IF(CB34&lt;0.5, "Complete", "In Progress"))</f>
        <v>#REF!</v>
      </c>
      <c r="CD34" s="24"/>
      <c r="CE34" s="25">
        <f>SUMPRODUCT($H$67:AY$67,$H34:AY34)</f>
        <v>0</v>
      </c>
    </row>
    <row r="35" spans="1:83" x14ac:dyDescent="0.2">
      <c r="A35" s="16"/>
      <c r="B35" s="16"/>
      <c r="C35" s="16"/>
      <c r="D35" s="17"/>
      <c r="E35" s="168"/>
      <c r="F35" s="18" t="s">
        <v>133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IF(SUMPRODUCT($J$67:K$67,$J35:K35)&lt;0.5,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IF(SUMPRODUCT($J$67:N$67,$J35:N35)&lt;0.5,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IF(SUMPRODUCT($J$67:Q$67,$J35:Q35)&lt;0.5,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IF(SUMPRODUCT($J$67:T$67,$J35:T35)&lt;0.5,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IF(SUMPRODUCT($J$67:W$67,$J35:W35)&lt;0.5,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IF(SUMPRODUCT($J$67:Z$67,$J35:Z35)&lt;0.5,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IF(SUMPRODUCT($J$67:AC$67,$J35:AC35)&lt;0.5,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IF(SUMPRODUCT($J$67:AF$67,$J35:AF35)&lt;0.5,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IF(SUMPRODUCT($J$67:AI$67,$J35:AI35)&lt;0.5,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IF(SUMPRODUCT($J$67:AL$67,$J35:AL35)&lt;0.5,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IF(SUMPRODUCT($J$67:AO$67,$J35:AO35)&lt;0.5,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IF(SUMPRODUCT($J$67:AR$67,$J35:AR35)&lt;0.5,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IF(SUMPRODUCT($J$67:AU$67,$J35:AU35)&lt;0.5,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IF(SUMPRODUCT($J$67:AX$67,$J35:AX35)&lt;0.5,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IF(SUMPRODUCT($J$67:BA$67,$J35:BA35)&lt;0.5,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IF(SUMPRODUCT($J$67:BD$67,$J35:BD35)&lt;0.5,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IF(SUMPRODUCT($J$67:BG$67,$J35:BG35)&lt;0.5,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IF(SUMPRODUCT($J$67:BJ$67,$J35:BJ35)&lt;0.5,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IF(SUMPRODUCT($J$67:BM$67,$J35:BM35)&lt;0.5,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IF(SUMPRODUCT($J$67:BP$67,$J35:BP35)&lt;0.5,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IF(SUMPRODUCT($J$67:BS$67,$J35:BS35)&lt;0.5,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IF(SUMPRODUCT($J$67:BV$67,$J35:BV35)&lt;0.5,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IF(SUMPRODUCT($J$67:BY$67,$J35:BY35)&lt;0.5,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IF(SUMPRODUCT($J$67:CB$67,$J35:CB35)&lt;0.5, "Pending", IF(CB35&lt;0.5, "Complete", "In Progress"))</f>
        <v>#REF!</v>
      </c>
      <c r="CD35" s="24"/>
      <c r="CE35" s="25">
        <f>SUMPRODUCT($H$67:AY$67,$H35:AY35)</f>
        <v>0</v>
      </c>
    </row>
    <row r="36" spans="1:83" x14ac:dyDescent="0.2">
      <c r="A36" s="16"/>
      <c r="B36" s="16"/>
      <c r="C36" s="16"/>
      <c r="D36" s="17"/>
      <c r="E36" s="168"/>
      <c r="F36" s="18" t="s">
        <v>133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IF(SUMPRODUCT($J$67:K$67,$J36:K36)&lt;0.5,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IF(SUMPRODUCT($J$67:N$67,$J36:N36)&lt;0.5,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IF(SUMPRODUCT($J$67:Q$67,$J36:Q36)&lt;0.5,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IF(SUMPRODUCT($J$67:T$67,$J36:T36)&lt;0.5,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IF(SUMPRODUCT($J$67:W$67,$J36:W36)&lt;0.5,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IF(SUMPRODUCT($J$67:Z$67,$J36:Z36)&lt;0.5,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IF(SUMPRODUCT($J$67:AC$67,$J36:AC36)&lt;0.5,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IF(SUMPRODUCT($J$67:AF$67,$J36:AF36)&lt;0.5,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IF(SUMPRODUCT($J$67:AI$67,$J36:AI36)&lt;0.5,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IF(SUMPRODUCT($J$67:AL$67,$J36:AL36)&lt;0.5,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IF(SUMPRODUCT($J$67:AO$67,$J36:AO36)&lt;0.5,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IF(SUMPRODUCT($J$67:AR$67,$J36:AR36)&lt;0.5,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IF(SUMPRODUCT($J$67:AU$67,$J36:AU36)&lt;0.5,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IF(SUMPRODUCT($J$67:AX$67,$J36:AX36)&lt;0.5,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IF(SUMPRODUCT($J$67:BA$67,$J36:BA36)&lt;0.5,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IF(SUMPRODUCT($J$67:BD$67,$J36:BD36)&lt;0.5,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IF(SUMPRODUCT($J$67:BG$67,$J36:BG36)&lt;0.5,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IF(SUMPRODUCT($J$67:BJ$67,$J36:BJ36)&lt;0.5,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IF(SUMPRODUCT($J$67:BM$67,$J36:BM36)&lt;0.5,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IF(SUMPRODUCT($J$67:BP$67,$J36:BP36)&lt;0.5,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IF(SUMPRODUCT($J$67:BS$67,$J36:BS36)&lt;0.5,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IF(SUMPRODUCT($J$67:BV$67,$J36:BV36)&lt;0.5,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IF(SUMPRODUCT($J$67:BY$67,$J36:BY36)&lt;0.5,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IF(SUMPRODUCT($J$67:CB$67,$J36:CB36)&lt;0.5, "Pending", IF(CB36&lt;0.5, "Complete", "In Progress"))</f>
        <v>#REF!</v>
      </c>
      <c r="CD36" s="24"/>
      <c r="CE36" s="25">
        <f>SUMPRODUCT($H$67:AY$67,$H36:AY36)</f>
        <v>0</v>
      </c>
    </row>
    <row r="37" spans="1:83" x14ac:dyDescent="0.2">
      <c r="A37" s="16"/>
      <c r="B37" s="16"/>
      <c r="C37" s="16"/>
      <c r="D37" s="17"/>
      <c r="E37" s="168"/>
      <c r="F37" s="18" t="s">
        <v>133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IF(SUMPRODUCT($J$67:K$67,$J37:K37)&lt;0.5,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IF(SUMPRODUCT($J$67:N$67,$J37:N37)&lt;0.5,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IF(SUMPRODUCT($J$67:Q$67,$J37:Q37)&lt;0.5,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IF(SUMPRODUCT($J$67:T$67,$J37:T37)&lt;0.5,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IF(SUMPRODUCT($J$67:W$67,$J37:W37)&lt;0.5,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IF(SUMPRODUCT($J$67:Z$67,$J37:Z37)&lt;0.5,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IF(SUMPRODUCT($J$67:AC$67,$J37:AC37)&lt;0.5,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IF(SUMPRODUCT($J$67:AF$67,$J37:AF37)&lt;0.5,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IF(SUMPRODUCT($J$67:AI$67,$J37:AI37)&lt;0.5,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IF(SUMPRODUCT($J$67:AL$67,$J37:AL37)&lt;0.5,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IF(SUMPRODUCT($J$67:AO$67,$J37:AO37)&lt;0.5,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IF(SUMPRODUCT($J$67:AR$67,$J37:AR37)&lt;0.5,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IF(SUMPRODUCT($J$67:AU$67,$J37:AU37)&lt;0.5,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IF(SUMPRODUCT($J$67:AX$67,$J37:AX37)&lt;0.5,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IF(SUMPRODUCT($J$67:BA$67,$J37:BA37)&lt;0.5,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IF(SUMPRODUCT($J$67:BD$67,$J37:BD37)&lt;0.5,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IF(SUMPRODUCT($J$67:BG$67,$J37:BG37)&lt;0.5,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IF(SUMPRODUCT($J$67:BJ$67,$J37:BJ37)&lt;0.5,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IF(SUMPRODUCT($J$67:BM$67,$J37:BM37)&lt;0.5,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IF(SUMPRODUCT($J$67:BP$67,$J37:BP37)&lt;0.5,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IF(SUMPRODUCT($J$67:BS$67,$J37:BS37)&lt;0.5,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IF(SUMPRODUCT($J$67:BV$67,$J37:BV37)&lt;0.5,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IF(SUMPRODUCT($J$67:BY$67,$J37:BY37)&lt;0.5,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IF(SUMPRODUCT($J$67:CB$67,$J37:CB37)&lt;0.5, "Pending", IF(CB37&lt;0.5, "Complete", "In Progress"))</f>
        <v>#REF!</v>
      </c>
      <c r="CD37" s="24"/>
      <c r="CE37" s="25">
        <f>SUMPRODUCT($H$67:AY$67,$H37:AY37)</f>
        <v>0</v>
      </c>
    </row>
    <row r="38" spans="1:83" x14ac:dyDescent="0.2">
      <c r="A38" s="16"/>
      <c r="B38" s="16"/>
      <c r="C38" s="16"/>
      <c r="D38" s="17"/>
      <c r="E38" s="168"/>
      <c r="F38" s="18" t="s">
        <v>133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IF(SUMPRODUCT($J$67:K$67,$J38:K38)&lt;0.5,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IF(SUMPRODUCT($J$67:N$67,$J38:N38)&lt;0.5,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IF(SUMPRODUCT($J$67:Q$67,$J38:Q38)&lt;0.5,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IF(SUMPRODUCT($J$67:T$67,$J38:T38)&lt;0.5,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IF(SUMPRODUCT($J$67:W$67,$J38:W38)&lt;0.5,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IF(SUMPRODUCT($J$67:Z$67,$J38:Z38)&lt;0.5,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IF(SUMPRODUCT($J$67:AC$67,$J38:AC38)&lt;0.5,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IF(SUMPRODUCT($J$67:AF$67,$J38:AF38)&lt;0.5,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IF(SUMPRODUCT($J$67:AI$67,$J38:AI38)&lt;0.5,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IF(SUMPRODUCT($J$67:AL$67,$J38:AL38)&lt;0.5,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IF(SUMPRODUCT($J$67:AO$67,$J38:AO38)&lt;0.5,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IF(SUMPRODUCT($J$67:AR$67,$J38:AR38)&lt;0.5,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IF(SUMPRODUCT($J$67:AU$67,$J38:AU38)&lt;0.5,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IF(SUMPRODUCT($J$67:AX$67,$J38:AX38)&lt;0.5,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IF(SUMPRODUCT($J$67:BA$67,$J38:BA38)&lt;0.5,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IF(SUMPRODUCT($J$67:BD$67,$J38:BD38)&lt;0.5,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IF(SUMPRODUCT($J$67:BG$67,$J38:BG38)&lt;0.5,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IF(SUMPRODUCT($J$67:BJ$67,$J38:BJ38)&lt;0.5,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IF(SUMPRODUCT($J$67:BM$67,$J38:BM38)&lt;0.5,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IF(SUMPRODUCT($J$67:BP$67,$J38:BP38)&lt;0.5,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IF(SUMPRODUCT($J$67:BS$67,$J38:BS38)&lt;0.5,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IF(SUMPRODUCT($J$67:BV$67,$J38:BV38)&lt;0.5,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IF(SUMPRODUCT($J$67:BY$67,$J38:BY38)&lt;0.5,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IF(SUMPRODUCT($J$67:CB$67,$J38:CB38)&lt;0.5, "Pending", IF(CB38&lt;0.5, "Complete", "In Progress"))</f>
        <v>#REF!</v>
      </c>
      <c r="CD38" s="24"/>
      <c r="CE38" s="25">
        <f>SUMPRODUCT($H$67:AY$67,$H38:AY38)</f>
        <v>0</v>
      </c>
    </row>
    <row r="39" spans="1:83" x14ac:dyDescent="0.2">
      <c r="A39" s="16"/>
      <c r="B39" s="16"/>
      <c r="C39" s="16"/>
      <c r="D39" s="17"/>
      <c r="E39" s="168"/>
      <c r="F39" s="18" t="s">
        <v>133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IF(SUMPRODUCT($J$67:K$67,$J39:K39)&lt;0.5,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IF(SUMPRODUCT($J$67:N$67,$J39:N39)&lt;0.5,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IF(SUMPRODUCT($J$67:Q$67,$J39:Q39)&lt;0.5,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IF(SUMPRODUCT($J$67:T$67,$J39:T39)&lt;0.5,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IF(SUMPRODUCT($J$67:W$67,$J39:W39)&lt;0.5,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IF(SUMPRODUCT($J$67:Z$67,$J39:Z39)&lt;0.5,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IF(SUMPRODUCT($J$67:AC$67,$J39:AC39)&lt;0.5,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IF(SUMPRODUCT($J$67:AF$67,$J39:AF39)&lt;0.5,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IF(SUMPRODUCT($J$67:AI$67,$J39:AI39)&lt;0.5,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IF(SUMPRODUCT($J$67:AL$67,$J39:AL39)&lt;0.5,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IF(SUMPRODUCT($J$67:AO$67,$J39:AO39)&lt;0.5,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IF(SUMPRODUCT($J$67:AR$67,$J39:AR39)&lt;0.5,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IF(SUMPRODUCT($J$67:AU$67,$J39:AU39)&lt;0.5,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IF(SUMPRODUCT($J$67:AX$67,$J39:AX39)&lt;0.5,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IF(SUMPRODUCT($J$67:BA$67,$J39:BA39)&lt;0.5,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IF(SUMPRODUCT($J$67:BD$67,$J39:BD39)&lt;0.5,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IF(SUMPRODUCT($J$67:BG$67,$J39:BG39)&lt;0.5,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IF(SUMPRODUCT($J$67:BJ$67,$J39:BJ39)&lt;0.5,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IF(SUMPRODUCT($J$67:BM$67,$J39:BM39)&lt;0.5,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IF(SUMPRODUCT($J$67:BP$67,$J39:BP39)&lt;0.5,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IF(SUMPRODUCT($J$67:BS$67,$J39:BS39)&lt;0.5,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IF(SUMPRODUCT($J$67:BV$67,$J39:BV39)&lt;0.5,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IF(SUMPRODUCT($J$67:BY$67,$J39:BY39)&lt;0.5,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IF(SUMPRODUCT($J$67:CB$67,$J39:CB39)&lt;0.5, "Pending", IF(CB39&lt;0.5, "Complete", "In Progress"))</f>
        <v>#REF!</v>
      </c>
      <c r="CD39" s="24"/>
      <c r="CE39" s="25">
        <f>SUMPRODUCT($H$67:AY$67,$H39:AY39)</f>
        <v>0</v>
      </c>
    </row>
    <row r="40" spans="1:83" x14ac:dyDescent="0.2">
      <c r="A40" s="16"/>
      <c r="B40" s="16"/>
      <c r="C40" s="16"/>
      <c r="D40" s="17"/>
      <c r="E40" s="168"/>
      <c r="F40" s="18" t="s">
        <v>133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IF(SUMPRODUCT($J$67:K$67,$J40:K40)&lt;0.5,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IF(SUMPRODUCT($J$67:N$67,$J40:N40)&lt;0.5,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IF(SUMPRODUCT($J$67:Q$67,$J40:Q40)&lt;0.5,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IF(SUMPRODUCT($J$67:T$67,$J40:T40)&lt;0.5,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IF(SUMPRODUCT($J$67:W$67,$J40:W40)&lt;0.5,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IF(SUMPRODUCT($J$67:Z$67,$J40:Z40)&lt;0.5,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IF(SUMPRODUCT($J$67:AC$67,$J40:AC40)&lt;0.5,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IF(SUMPRODUCT($J$67:AF$67,$J40:AF40)&lt;0.5,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IF(SUMPRODUCT($J$67:AI$67,$J40:AI40)&lt;0.5,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IF(SUMPRODUCT($J$67:AL$67,$J40:AL40)&lt;0.5,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IF(SUMPRODUCT($J$67:AO$67,$J40:AO40)&lt;0.5,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IF(SUMPRODUCT($J$67:AR$67,$J40:AR40)&lt;0.5,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IF(SUMPRODUCT($J$67:AU$67,$J40:AU40)&lt;0.5,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IF(SUMPRODUCT($J$67:AX$67,$J40:AX40)&lt;0.5,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IF(SUMPRODUCT($J$67:BA$67,$J40:BA40)&lt;0.5,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IF(SUMPRODUCT($J$67:BD$67,$J40:BD40)&lt;0.5,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IF(SUMPRODUCT($J$67:BG$67,$J40:BG40)&lt;0.5,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IF(SUMPRODUCT($J$67:BJ$67,$J40:BJ40)&lt;0.5,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IF(SUMPRODUCT($J$67:BM$67,$J40:BM40)&lt;0.5,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IF(SUMPRODUCT($J$67:BP$67,$J40:BP40)&lt;0.5,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IF(SUMPRODUCT($J$67:BS$67,$J40:BS40)&lt;0.5,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IF(SUMPRODUCT($J$67:BV$67,$J40:BV40)&lt;0.5,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IF(SUMPRODUCT($J$67:BY$67,$J40:BY40)&lt;0.5,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IF(SUMPRODUCT($J$67:CB$67,$J40:CB40)&lt;0.5, "Pending", IF(CB40&lt;0.5, "Complete", "In Progress"))</f>
        <v>#REF!</v>
      </c>
      <c r="CD40" s="24"/>
      <c r="CE40" s="25">
        <f>SUMPRODUCT($H$67:AY$67,$H40:AY40)</f>
        <v>0</v>
      </c>
    </row>
    <row r="41" spans="1:83" x14ac:dyDescent="0.2">
      <c r="A41" s="16"/>
      <c r="B41" s="16"/>
      <c r="C41" s="16"/>
      <c r="D41" s="17"/>
      <c r="E41" s="168"/>
      <c r="F41" s="18" t="s">
        <v>133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IF(SUMPRODUCT($J$67:K$67,$J41:K41)&lt;0.5,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IF(SUMPRODUCT($J$67:N$67,$J41:N41)&lt;0.5,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IF(SUMPRODUCT($J$67:Q$67,$J41:Q41)&lt;0.5,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IF(SUMPRODUCT($J$67:T$67,$J41:T41)&lt;0.5,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IF(SUMPRODUCT($J$67:W$67,$J41:W41)&lt;0.5,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IF(SUMPRODUCT($J$67:Z$67,$J41:Z41)&lt;0.5,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IF(SUMPRODUCT($J$67:AC$67,$J41:AC41)&lt;0.5,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IF(SUMPRODUCT($J$67:AF$67,$J41:AF41)&lt;0.5,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IF(SUMPRODUCT($J$67:AI$67,$J41:AI41)&lt;0.5,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IF(SUMPRODUCT($J$67:AL$67,$J41:AL41)&lt;0.5,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IF(SUMPRODUCT($J$67:AO$67,$J41:AO41)&lt;0.5,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IF(SUMPRODUCT($J$67:AR$67,$J41:AR41)&lt;0.5,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IF(SUMPRODUCT($J$67:AU$67,$J41:AU41)&lt;0.5,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IF(SUMPRODUCT($J$67:AX$67,$J41:AX41)&lt;0.5,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IF(SUMPRODUCT($J$67:BA$67,$J41:BA41)&lt;0.5,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IF(SUMPRODUCT($J$67:BD$67,$J41:BD41)&lt;0.5,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IF(SUMPRODUCT($J$67:BG$67,$J41:BG41)&lt;0.5,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IF(SUMPRODUCT($J$67:BJ$67,$J41:BJ41)&lt;0.5,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IF(SUMPRODUCT($J$67:BM$67,$J41:BM41)&lt;0.5,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IF(SUMPRODUCT($J$67:BP$67,$J41:BP41)&lt;0.5,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IF(SUMPRODUCT($J$67:BS$67,$J41:BS41)&lt;0.5,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IF(SUMPRODUCT($J$67:BV$67,$J41:BV41)&lt;0.5,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IF(SUMPRODUCT($J$67:BY$67,$J41:BY41)&lt;0.5,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IF(SUMPRODUCT($J$67:CB$67,$J41:CB41)&lt;0.5, "Pending", IF(CB41&lt;0.5, "Complete", "In Progress"))</f>
        <v>#REF!</v>
      </c>
      <c r="CD41" s="24"/>
      <c r="CE41" s="25">
        <f>SUMPRODUCT($H$67:AY$67,$H41:AY41)</f>
        <v>0</v>
      </c>
    </row>
    <row r="42" spans="1:83" x14ac:dyDescent="0.2">
      <c r="A42" s="16"/>
      <c r="B42" s="16"/>
      <c r="C42" s="16"/>
      <c r="D42" s="17"/>
      <c r="E42" s="168"/>
      <c r="F42" s="18" t="s">
        <v>133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IF(SUMPRODUCT($J$67:K$67,$J42:K42)&lt;0.5,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IF(SUMPRODUCT($J$67:N$67,$J42:N42)&lt;0.5,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IF(SUMPRODUCT($J$67:Q$67,$J42:Q42)&lt;0.5,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IF(SUMPRODUCT($J$67:T$67,$J42:T42)&lt;0.5,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IF(SUMPRODUCT($J$67:W$67,$J42:W42)&lt;0.5,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IF(SUMPRODUCT($J$67:Z$67,$J42:Z42)&lt;0.5,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IF(SUMPRODUCT($J$67:AC$67,$J42:AC42)&lt;0.5,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IF(SUMPRODUCT($J$67:AF$67,$J42:AF42)&lt;0.5,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IF(SUMPRODUCT($J$67:AI$67,$J42:AI42)&lt;0.5,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IF(SUMPRODUCT($J$67:AL$67,$J42:AL42)&lt;0.5,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IF(SUMPRODUCT($J$67:AO$67,$J42:AO42)&lt;0.5,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IF(SUMPRODUCT($J$67:AR$67,$J42:AR42)&lt;0.5,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IF(SUMPRODUCT($J$67:AU$67,$J42:AU42)&lt;0.5,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IF(SUMPRODUCT($J$67:AX$67,$J42:AX42)&lt;0.5,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IF(SUMPRODUCT($J$67:BA$67,$J42:BA42)&lt;0.5,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IF(SUMPRODUCT($J$67:BD$67,$J42:BD42)&lt;0.5,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IF(SUMPRODUCT($J$67:BG$67,$J42:BG42)&lt;0.5,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IF(SUMPRODUCT($J$67:BJ$67,$J42:BJ42)&lt;0.5,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IF(SUMPRODUCT($J$67:BM$67,$J42:BM42)&lt;0.5,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IF(SUMPRODUCT($J$67:BP$67,$J42:BP42)&lt;0.5,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IF(SUMPRODUCT($J$67:BS$67,$J42:BS42)&lt;0.5,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IF(SUMPRODUCT($J$67:BV$67,$J42:BV42)&lt;0.5,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IF(SUMPRODUCT($J$67:BY$67,$J42:BY42)&lt;0.5,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IF(SUMPRODUCT($J$67:CB$67,$J42:CB42)&lt;0.5, "Pending", IF(CB42&lt;0.5, "Complete", "In Progress"))</f>
        <v>#REF!</v>
      </c>
      <c r="CD42" s="24"/>
      <c r="CE42" s="25">
        <f>SUMPRODUCT($H$67:AY$67,$H42:AY42)</f>
        <v>0</v>
      </c>
    </row>
    <row r="43" spans="1:83" x14ac:dyDescent="0.2">
      <c r="A43" s="16"/>
      <c r="B43" s="16"/>
      <c r="C43" s="16"/>
      <c r="D43" s="17"/>
      <c r="E43" s="168"/>
      <c r="F43" s="18" t="s">
        <v>133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IF(SUMPRODUCT($J$67:K$67,$J43:K43)&lt;0.5,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IF(SUMPRODUCT($J$67:N$67,$J43:N43)&lt;0.5,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IF(SUMPRODUCT($J$67:Q$67,$J43:Q43)&lt;0.5,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IF(SUMPRODUCT($J$67:T$67,$J43:T43)&lt;0.5,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IF(SUMPRODUCT($J$67:W$67,$J43:W43)&lt;0.5,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IF(SUMPRODUCT($J$67:Z$67,$J43:Z43)&lt;0.5,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IF(SUMPRODUCT($J$67:AC$67,$J43:AC43)&lt;0.5,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IF(SUMPRODUCT($J$67:AF$67,$J43:AF43)&lt;0.5,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IF(SUMPRODUCT($J$67:AI$67,$J43:AI43)&lt;0.5,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IF(SUMPRODUCT($J$67:AL$67,$J43:AL43)&lt;0.5,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IF(SUMPRODUCT($J$67:AO$67,$J43:AO43)&lt;0.5,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IF(SUMPRODUCT($J$67:AR$67,$J43:AR43)&lt;0.5,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IF(SUMPRODUCT($J$67:AU$67,$J43:AU43)&lt;0.5,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IF(SUMPRODUCT($J$67:AX$67,$J43:AX43)&lt;0.5,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IF(SUMPRODUCT($J$67:BA$67,$J43:BA43)&lt;0.5,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IF(SUMPRODUCT($J$67:BD$67,$J43:BD43)&lt;0.5,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IF(SUMPRODUCT($J$67:BG$67,$J43:BG43)&lt;0.5,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IF(SUMPRODUCT($J$67:BJ$67,$J43:BJ43)&lt;0.5,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IF(SUMPRODUCT($J$67:BM$67,$J43:BM43)&lt;0.5,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IF(SUMPRODUCT($J$67:BP$67,$J43:BP43)&lt;0.5,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IF(SUMPRODUCT($J$67:BS$67,$J43:BS43)&lt;0.5,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IF(SUMPRODUCT($J$67:BV$67,$J43:BV43)&lt;0.5,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IF(SUMPRODUCT($J$67:BY$67,$J43:BY43)&lt;0.5,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IF(SUMPRODUCT($J$67:CB$67,$J43:CB43)&lt;0.5, "Pending", IF(CB43&lt;0.5, "Complete", "In Progress"))</f>
        <v>#REF!</v>
      </c>
      <c r="CD43" s="24"/>
      <c r="CE43" s="25">
        <f>SUMPRODUCT($H$67:AY$67,$H43:AY43)</f>
        <v>0</v>
      </c>
    </row>
    <row r="44" spans="1:83" x14ac:dyDescent="0.2">
      <c r="A44" s="16"/>
      <c r="B44" s="16"/>
      <c r="C44" s="16"/>
      <c r="D44" s="17"/>
      <c r="E44" s="168"/>
      <c r="F44" s="18" t="s">
        <v>133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IF(SUMPRODUCT($J$67:K$67,$J44:K44)&lt;0.5,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IF(SUMPRODUCT($J$67:N$67,$J44:N44)&lt;0.5,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IF(SUMPRODUCT($J$67:Q$67,$J44:Q44)&lt;0.5,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IF(SUMPRODUCT($J$67:T$67,$J44:T44)&lt;0.5,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IF(SUMPRODUCT($J$67:W$67,$J44:W44)&lt;0.5,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IF(SUMPRODUCT($J$67:Z$67,$J44:Z44)&lt;0.5,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IF(SUMPRODUCT($J$67:AC$67,$J44:AC44)&lt;0.5,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IF(SUMPRODUCT($J$67:AF$67,$J44:AF44)&lt;0.5,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IF(SUMPRODUCT($J$67:AI$67,$J44:AI44)&lt;0.5,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IF(SUMPRODUCT($J$67:AL$67,$J44:AL44)&lt;0.5,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IF(SUMPRODUCT($J$67:AO$67,$J44:AO44)&lt;0.5,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IF(SUMPRODUCT($J$67:AR$67,$J44:AR44)&lt;0.5,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IF(SUMPRODUCT($J$67:AU$67,$J44:AU44)&lt;0.5,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IF(SUMPRODUCT($J$67:AX$67,$J44:AX44)&lt;0.5,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IF(SUMPRODUCT($J$67:BA$67,$J44:BA44)&lt;0.5,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IF(SUMPRODUCT($J$67:BD$67,$J44:BD44)&lt;0.5,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IF(SUMPRODUCT($J$67:BG$67,$J44:BG44)&lt;0.5,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IF(SUMPRODUCT($J$67:BJ$67,$J44:BJ44)&lt;0.5,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IF(SUMPRODUCT($J$67:BM$67,$J44:BM44)&lt;0.5,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IF(SUMPRODUCT($J$67:BP$67,$J44:BP44)&lt;0.5,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IF(SUMPRODUCT($J$67:BS$67,$J44:BS44)&lt;0.5,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IF(SUMPRODUCT($J$67:BV$67,$J44:BV44)&lt;0.5,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IF(SUMPRODUCT($J$67:BY$67,$J44:BY44)&lt;0.5,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IF(SUMPRODUCT($J$67:CB$67,$J44:CB44)&lt;0.5, "Pending", IF(CB44&lt;0.5, "Complete", "In Progress"))</f>
        <v>#REF!</v>
      </c>
      <c r="CD44" s="24"/>
      <c r="CE44" s="25">
        <f>SUMPRODUCT($H$67:AY$67,$H44:AY44)</f>
        <v>0</v>
      </c>
    </row>
    <row r="45" spans="1:83" x14ac:dyDescent="0.2">
      <c r="A45" s="16"/>
      <c r="B45" s="16"/>
      <c r="C45" s="16"/>
      <c r="D45" s="17"/>
      <c r="E45" s="168"/>
      <c r="F45" s="18" t="s">
        <v>133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IF(SUMPRODUCT($J$67:K$67,$J45:K45)&lt;0.5,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IF(SUMPRODUCT($J$67:N$67,$J45:N45)&lt;0.5,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IF(SUMPRODUCT($J$67:Q$67,$J45:Q45)&lt;0.5,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IF(SUMPRODUCT($J$67:T$67,$J45:T45)&lt;0.5,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IF(SUMPRODUCT($J$67:W$67,$J45:W45)&lt;0.5,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IF(SUMPRODUCT($J$67:Z$67,$J45:Z45)&lt;0.5,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IF(SUMPRODUCT($J$67:AC$67,$J45:AC45)&lt;0.5,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IF(SUMPRODUCT($J$67:AF$67,$J45:AF45)&lt;0.5,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IF(SUMPRODUCT($J$67:AI$67,$J45:AI45)&lt;0.5,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IF(SUMPRODUCT($J$67:AL$67,$J45:AL45)&lt;0.5,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IF(SUMPRODUCT($J$67:AO$67,$J45:AO45)&lt;0.5,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IF(SUMPRODUCT($J$67:AR$67,$J45:AR45)&lt;0.5,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IF(SUMPRODUCT($J$67:AU$67,$J45:AU45)&lt;0.5,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IF(SUMPRODUCT($J$67:AX$67,$J45:AX45)&lt;0.5,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IF(SUMPRODUCT($J$67:BA$67,$J45:BA45)&lt;0.5,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IF(SUMPRODUCT($J$67:BD$67,$J45:BD45)&lt;0.5,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IF(SUMPRODUCT($J$67:BG$67,$J45:BG45)&lt;0.5,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IF(SUMPRODUCT($J$67:BJ$67,$J45:BJ45)&lt;0.5,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IF(SUMPRODUCT($J$67:BM$67,$J45:BM45)&lt;0.5,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IF(SUMPRODUCT($J$67:BP$67,$J45:BP45)&lt;0.5,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IF(SUMPRODUCT($J$67:BS$67,$J45:BS45)&lt;0.5,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IF(SUMPRODUCT($J$67:BV$67,$J45:BV45)&lt;0.5,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IF(SUMPRODUCT($J$67:BY$67,$J45:BY45)&lt;0.5,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IF(SUMPRODUCT($J$67:CB$67,$J45:CB45)&lt;0.5, "Pending", IF(CB45&lt;0.5, "Complete", "In Progress"))</f>
        <v>#REF!</v>
      </c>
      <c r="CD45" s="24"/>
      <c r="CE45" s="25">
        <f>SUMPRODUCT($H$67:AY$67,$H45:AY45)</f>
        <v>0</v>
      </c>
    </row>
    <row r="46" spans="1:83" x14ac:dyDescent="0.2">
      <c r="A46" s="16"/>
      <c r="B46" s="16"/>
      <c r="C46" s="16"/>
      <c r="D46" s="17"/>
      <c r="E46" s="168"/>
      <c r="F46" s="18" t="s">
        <v>133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IF(SUMPRODUCT($J$67:K$67,$J46:K46)&lt;0.5,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IF(SUMPRODUCT($J$67:N$67,$J46:N46)&lt;0.5,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IF(SUMPRODUCT($J$67:Q$67,$J46:Q46)&lt;0.5,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IF(SUMPRODUCT($J$67:T$67,$J46:T46)&lt;0.5,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IF(SUMPRODUCT($J$67:W$67,$J46:W46)&lt;0.5,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IF(SUMPRODUCT($J$67:Z$67,$J46:Z46)&lt;0.5,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IF(SUMPRODUCT($J$67:AC$67,$J46:AC46)&lt;0.5,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IF(SUMPRODUCT($J$67:AF$67,$J46:AF46)&lt;0.5,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IF(SUMPRODUCT($J$67:AI$67,$J46:AI46)&lt;0.5,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IF(SUMPRODUCT($J$67:AL$67,$J46:AL46)&lt;0.5,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IF(SUMPRODUCT($J$67:AO$67,$J46:AO46)&lt;0.5,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IF(SUMPRODUCT($J$67:AR$67,$J46:AR46)&lt;0.5,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IF(SUMPRODUCT($J$67:AU$67,$J46:AU46)&lt;0.5,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IF(SUMPRODUCT($J$67:AX$67,$J46:AX46)&lt;0.5,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IF(SUMPRODUCT($J$67:BA$67,$J46:BA46)&lt;0.5,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IF(SUMPRODUCT($J$67:BD$67,$J46:BD46)&lt;0.5,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IF(SUMPRODUCT($J$67:BG$67,$J46:BG46)&lt;0.5,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IF(SUMPRODUCT($J$67:BJ$67,$J46:BJ46)&lt;0.5,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IF(SUMPRODUCT($J$67:BM$67,$J46:BM46)&lt;0.5,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IF(SUMPRODUCT($J$67:BP$67,$J46:BP46)&lt;0.5,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IF(SUMPRODUCT($J$67:BS$67,$J46:BS46)&lt;0.5,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IF(SUMPRODUCT($J$67:BV$67,$J46:BV46)&lt;0.5,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IF(SUMPRODUCT($J$67:BY$67,$J46:BY46)&lt;0.5,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IF(SUMPRODUCT($J$67:CB$67,$J46:CB46)&lt;0.5, "Pending", IF(CB46&lt;0.5, "Complete", "In Progress"))</f>
        <v>#REF!</v>
      </c>
      <c r="CD46" s="24"/>
      <c r="CE46" s="25">
        <f>SUMPRODUCT($H$67:AY$67,$H46:AY46)</f>
        <v>0</v>
      </c>
    </row>
    <row r="47" spans="1:83" x14ac:dyDescent="0.2">
      <c r="A47" s="16"/>
      <c r="B47" s="16"/>
      <c r="C47" s="16"/>
      <c r="D47" s="17"/>
      <c r="E47" s="168"/>
      <c r="F47" s="18" t="s">
        <v>133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IF(SUMPRODUCT($J$67:K$67,$J47:K47)&lt;0.5,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IF(SUMPRODUCT($J$67:N$67,$J47:N47)&lt;0.5,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IF(SUMPRODUCT($J$67:Q$67,$J47:Q47)&lt;0.5,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IF(SUMPRODUCT($J$67:T$67,$J47:T47)&lt;0.5,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IF(SUMPRODUCT($J$67:W$67,$J47:W47)&lt;0.5,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IF(SUMPRODUCT($J$67:Z$67,$J47:Z47)&lt;0.5,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IF(SUMPRODUCT($J$67:AC$67,$J47:AC47)&lt;0.5,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IF(SUMPRODUCT($J$67:AF$67,$J47:AF47)&lt;0.5,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IF(SUMPRODUCT($J$67:AI$67,$J47:AI47)&lt;0.5,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IF(SUMPRODUCT($J$67:AL$67,$J47:AL47)&lt;0.5,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IF(SUMPRODUCT($J$67:AO$67,$J47:AO47)&lt;0.5,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IF(SUMPRODUCT($J$67:AR$67,$J47:AR47)&lt;0.5,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IF(SUMPRODUCT($J$67:AU$67,$J47:AU47)&lt;0.5,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IF(SUMPRODUCT($J$67:AX$67,$J47:AX47)&lt;0.5,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IF(SUMPRODUCT($J$67:BA$67,$J47:BA47)&lt;0.5,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IF(SUMPRODUCT($J$67:BD$67,$J47:BD47)&lt;0.5,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IF(SUMPRODUCT($J$67:BG$67,$J47:BG47)&lt;0.5,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IF(SUMPRODUCT($J$67:BJ$67,$J47:BJ47)&lt;0.5,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IF(SUMPRODUCT($J$67:BM$67,$J47:BM47)&lt;0.5,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IF(SUMPRODUCT($J$67:BP$67,$J47:BP47)&lt;0.5,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IF(SUMPRODUCT($J$67:BS$67,$J47:BS47)&lt;0.5,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IF(SUMPRODUCT($J$67:BV$67,$J47:BV47)&lt;0.5,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IF(SUMPRODUCT($J$67:BY$67,$J47:BY47)&lt;0.5,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IF(SUMPRODUCT($J$67:CB$67,$J47:CB47)&lt;0.5, "Pending", IF(CB47&lt;0.5, "Complete", "In Progress"))</f>
        <v>#REF!</v>
      </c>
      <c r="CD47" s="24"/>
      <c r="CE47" s="25">
        <f>SUMPRODUCT($H$67:AY$67,$H47:AY47)</f>
        <v>0</v>
      </c>
    </row>
    <row r="48" spans="1:83" x14ac:dyDescent="0.2">
      <c r="A48" s="16"/>
      <c r="B48" s="16"/>
      <c r="C48" s="16"/>
      <c r="D48" s="17"/>
      <c r="E48" s="168"/>
      <c r="F48" s="18" t="s">
        <v>133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IF(SUMPRODUCT($J$67:K$67,$J48:K48)&lt;0.5,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IF(SUMPRODUCT($J$67:N$67,$J48:N48)&lt;0.5,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IF(SUMPRODUCT($J$67:Q$67,$J48:Q48)&lt;0.5,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IF(SUMPRODUCT($J$67:T$67,$J48:T48)&lt;0.5,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IF(SUMPRODUCT($J$67:W$67,$J48:W48)&lt;0.5,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IF(SUMPRODUCT($J$67:Z$67,$J48:Z48)&lt;0.5,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IF(SUMPRODUCT($J$67:AC$67,$J48:AC48)&lt;0.5,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IF(SUMPRODUCT($J$67:AF$67,$J48:AF48)&lt;0.5,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IF(SUMPRODUCT($J$67:AI$67,$J48:AI48)&lt;0.5,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IF(SUMPRODUCT($J$67:AL$67,$J48:AL48)&lt;0.5,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IF(SUMPRODUCT($J$67:AO$67,$J48:AO48)&lt;0.5,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IF(SUMPRODUCT($J$67:AR$67,$J48:AR48)&lt;0.5,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IF(SUMPRODUCT($J$67:AU$67,$J48:AU48)&lt;0.5,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IF(SUMPRODUCT($J$67:AX$67,$J48:AX48)&lt;0.5,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IF(SUMPRODUCT($J$67:BA$67,$J48:BA48)&lt;0.5,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IF(SUMPRODUCT($J$67:BD$67,$J48:BD48)&lt;0.5,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IF(SUMPRODUCT($J$67:BG$67,$J48:BG48)&lt;0.5,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IF(SUMPRODUCT($J$67:BJ$67,$J48:BJ48)&lt;0.5,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IF(SUMPRODUCT($J$67:BM$67,$J48:BM48)&lt;0.5,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IF(SUMPRODUCT($J$67:BP$67,$J48:BP48)&lt;0.5,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IF(SUMPRODUCT($J$67:BS$67,$J48:BS48)&lt;0.5,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IF(SUMPRODUCT($J$67:BV$67,$J48:BV48)&lt;0.5,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IF(SUMPRODUCT($J$67:BY$67,$J48:BY48)&lt;0.5,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IF(SUMPRODUCT($J$67:CB$67,$J48:CB48)&lt;0.5, "Pending", IF(CB48&lt;0.5, "Complete", "In Progress"))</f>
        <v>#REF!</v>
      </c>
      <c r="CD48" s="24"/>
      <c r="CE48" s="25">
        <f>SUMPRODUCT($H$67:AY$67,$H48:AY48)</f>
        <v>0</v>
      </c>
    </row>
    <row r="49" spans="1:83" x14ac:dyDescent="0.2">
      <c r="A49" s="16"/>
      <c r="B49" s="16"/>
      <c r="C49" s="16"/>
      <c r="D49" s="17"/>
      <c r="E49" s="168"/>
      <c r="F49" s="18" t="s">
        <v>133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IF(SUMPRODUCT($J$67:K$67,$J49:K49)&lt;0.5,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IF(SUMPRODUCT($J$67:N$67,$J49:N49)&lt;0.5,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IF(SUMPRODUCT($J$67:Q$67,$J49:Q49)&lt;0.5,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IF(SUMPRODUCT($J$67:T$67,$J49:T49)&lt;0.5,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IF(SUMPRODUCT($J$67:W$67,$J49:W49)&lt;0.5,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IF(SUMPRODUCT($J$67:Z$67,$J49:Z49)&lt;0.5,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IF(SUMPRODUCT($J$67:AC$67,$J49:AC49)&lt;0.5,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IF(SUMPRODUCT($J$67:AF$67,$J49:AF49)&lt;0.5,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IF(SUMPRODUCT($J$67:AI$67,$J49:AI49)&lt;0.5,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IF(SUMPRODUCT($J$67:AL$67,$J49:AL49)&lt;0.5,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IF(SUMPRODUCT($J$67:AO$67,$J49:AO49)&lt;0.5,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IF(SUMPRODUCT($J$67:AR$67,$J49:AR49)&lt;0.5,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IF(SUMPRODUCT($J$67:AU$67,$J49:AU49)&lt;0.5,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IF(SUMPRODUCT($J$67:AX$67,$J49:AX49)&lt;0.5,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IF(SUMPRODUCT($J$67:BA$67,$J49:BA49)&lt;0.5,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IF(SUMPRODUCT($J$67:BD$67,$J49:BD49)&lt;0.5,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IF(SUMPRODUCT($J$67:BG$67,$J49:BG49)&lt;0.5,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IF(SUMPRODUCT($J$67:BJ$67,$J49:BJ49)&lt;0.5,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IF(SUMPRODUCT($J$67:BM$67,$J49:BM49)&lt;0.5,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IF(SUMPRODUCT($J$67:BP$67,$J49:BP49)&lt;0.5,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IF(SUMPRODUCT($J$67:BS$67,$J49:BS49)&lt;0.5,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IF(SUMPRODUCT($J$67:BV$67,$J49:BV49)&lt;0.5,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IF(SUMPRODUCT($J$67:BY$67,$J49:BY49)&lt;0.5,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IF(SUMPRODUCT($J$67:CB$67,$J49:CB49)&lt;0.5, "Pending", IF(CB49&lt;0.5, "Complete", "In Progress"))</f>
        <v>#REF!</v>
      </c>
      <c r="CD49" s="24"/>
      <c r="CE49" s="25">
        <f>SUMPRODUCT($H$67:AY$67,$H49:AY49)</f>
        <v>0</v>
      </c>
    </row>
    <row r="50" spans="1:83" x14ac:dyDescent="0.2">
      <c r="A50" s="16"/>
      <c r="B50" s="16"/>
      <c r="C50" s="16"/>
      <c r="D50" s="17"/>
      <c r="E50" s="168"/>
      <c r="F50" s="18" t="s">
        <v>133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IF(SUMPRODUCT($J$67:K$67,$J50:K50)&lt;0.5,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IF(SUMPRODUCT($J$67:N$67,$J50:N50)&lt;0.5,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IF(SUMPRODUCT($J$67:Q$67,$J50:Q50)&lt;0.5,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IF(SUMPRODUCT($J$67:T$67,$J50:T50)&lt;0.5,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IF(SUMPRODUCT($J$67:W$67,$J50:W50)&lt;0.5,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IF(SUMPRODUCT($J$67:Z$67,$J50:Z50)&lt;0.5,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IF(SUMPRODUCT($J$67:AC$67,$J50:AC50)&lt;0.5,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IF(SUMPRODUCT($J$67:AF$67,$J50:AF50)&lt;0.5,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IF(SUMPRODUCT($J$67:AI$67,$J50:AI50)&lt;0.5,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IF(SUMPRODUCT($J$67:AL$67,$J50:AL50)&lt;0.5,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IF(SUMPRODUCT($J$67:AO$67,$J50:AO50)&lt;0.5,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IF(SUMPRODUCT($J$67:AR$67,$J50:AR50)&lt;0.5,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IF(SUMPRODUCT($J$67:AU$67,$J50:AU50)&lt;0.5,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IF(SUMPRODUCT($J$67:AX$67,$J50:AX50)&lt;0.5,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IF(SUMPRODUCT($J$67:BA$67,$J50:BA50)&lt;0.5,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IF(SUMPRODUCT($J$67:BD$67,$J50:BD50)&lt;0.5,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IF(SUMPRODUCT($J$67:BG$67,$J50:BG50)&lt;0.5,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IF(SUMPRODUCT($J$67:BJ$67,$J50:BJ50)&lt;0.5,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IF(SUMPRODUCT($J$67:BM$67,$J50:BM50)&lt;0.5,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IF(SUMPRODUCT($J$67:BP$67,$J50:BP50)&lt;0.5,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IF(SUMPRODUCT($J$67:BS$67,$J50:BS50)&lt;0.5,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IF(SUMPRODUCT($J$67:BV$67,$J50:BV50)&lt;0.5,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IF(SUMPRODUCT($J$67:BY$67,$J50:BY50)&lt;0.5,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IF(SUMPRODUCT($J$67:CB$67,$J50:CB50)&lt;0.5, "Pending", IF(CB50&lt;0.5, "Complete", "In Progress"))</f>
        <v>#REF!</v>
      </c>
      <c r="CD50" s="24"/>
      <c r="CE50" s="25">
        <f>SUMPRODUCT($H$67:AY$67,$H50:AY50)</f>
        <v>0</v>
      </c>
    </row>
    <row r="51" spans="1:83" x14ac:dyDescent="0.2">
      <c r="A51" s="16"/>
      <c r="B51" s="16"/>
      <c r="C51" s="16"/>
      <c r="D51" s="17"/>
      <c r="E51" s="168"/>
      <c r="F51" s="18" t="s">
        <v>133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IF(SUMPRODUCT($J$67:K$67,$J51:K51)&lt;0.5,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IF(SUMPRODUCT($J$67:N$67,$J51:N51)&lt;0.5,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IF(SUMPRODUCT($J$67:Q$67,$J51:Q51)&lt;0.5,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IF(SUMPRODUCT($J$67:T$67,$J51:T51)&lt;0.5,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IF(SUMPRODUCT($J$67:W$67,$J51:W51)&lt;0.5,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IF(SUMPRODUCT($J$67:Z$67,$J51:Z51)&lt;0.5,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IF(SUMPRODUCT($J$67:AC$67,$J51:AC51)&lt;0.5,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IF(SUMPRODUCT($J$67:AF$67,$J51:AF51)&lt;0.5,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IF(SUMPRODUCT($J$67:AI$67,$J51:AI51)&lt;0.5,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IF(SUMPRODUCT($J$67:AL$67,$J51:AL51)&lt;0.5,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IF(SUMPRODUCT($J$67:AO$67,$J51:AO51)&lt;0.5,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IF(SUMPRODUCT($J$67:AR$67,$J51:AR51)&lt;0.5,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IF(SUMPRODUCT($J$67:AU$67,$J51:AU51)&lt;0.5,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IF(SUMPRODUCT($J$67:AX$67,$J51:AX51)&lt;0.5,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IF(SUMPRODUCT($J$67:BA$67,$J51:BA51)&lt;0.5,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IF(SUMPRODUCT($J$67:BD$67,$J51:BD51)&lt;0.5,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IF(SUMPRODUCT($J$67:BG$67,$J51:BG51)&lt;0.5,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IF(SUMPRODUCT($J$67:BJ$67,$J51:BJ51)&lt;0.5,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IF(SUMPRODUCT($J$67:BM$67,$J51:BM51)&lt;0.5,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IF(SUMPRODUCT($J$67:BP$67,$J51:BP51)&lt;0.5,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IF(SUMPRODUCT($J$67:BS$67,$J51:BS51)&lt;0.5,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IF(SUMPRODUCT($J$67:BV$67,$J51:BV51)&lt;0.5,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IF(SUMPRODUCT($J$67:BY$67,$J51:BY51)&lt;0.5,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IF(SUMPRODUCT($J$67:CB$67,$J51:CB51)&lt;0.5, "Pending", IF(CB51&lt;0.5, "Complete", "In Progress"))</f>
        <v>#REF!</v>
      </c>
      <c r="CD51" s="24"/>
      <c r="CE51" s="25">
        <f>SUMPRODUCT($H$67:AY$67,$H51:AY51)</f>
        <v>0</v>
      </c>
    </row>
    <row r="52" spans="1:83" x14ac:dyDescent="0.2">
      <c r="A52" s="16"/>
      <c r="B52" s="16"/>
      <c r="C52" s="16"/>
      <c r="D52" s="17"/>
      <c r="E52" s="168"/>
      <c r="F52" s="18" t="s">
        <v>133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IF(SUMPRODUCT($J$67:K$67,$J52:K52)&lt;0.5,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IF(SUMPRODUCT($J$67:N$67,$J52:N52)&lt;0.5,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IF(SUMPRODUCT($J$67:Q$67,$J52:Q52)&lt;0.5,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IF(SUMPRODUCT($J$67:T$67,$J52:T52)&lt;0.5,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IF(SUMPRODUCT($J$67:W$67,$J52:W52)&lt;0.5,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IF(SUMPRODUCT($J$67:Z$67,$J52:Z52)&lt;0.5,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IF(SUMPRODUCT($J$67:AC$67,$J52:AC52)&lt;0.5,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IF(SUMPRODUCT($J$67:AF$67,$J52:AF52)&lt;0.5,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IF(SUMPRODUCT($J$67:AI$67,$J52:AI52)&lt;0.5,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IF(SUMPRODUCT($J$67:AL$67,$J52:AL52)&lt;0.5,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IF(SUMPRODUCT($J$67:AO$67,$J52:AO52)&lt;0.5,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IF(SUMPRODUCT($J$67:AR$67,$J52:AR52)&lt;0.5,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IF(SUMPRODUCT($J$67:AU$67,$J52:AU52)&lt;0.5,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IF(SUMPRODUCT($J$67:AX$67,$J52:AX52)&lt;0.5,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IF(SUMPRODUCT($J$67:BA$67,$J52:BA52)&lt;0.5,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IF(SUMPRODUCT($J$67:BD$67,$J52:BD52)&lt;0.5,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IF(SUMPRODUCT($J$67:BG$67,$J52:BG52)&lt;0.5,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IF(SUMPRODUCT($J$67:BJ$67,$J52:BJ52)&lt;0.5,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IF(SUMPRODUCT($J$67:BM$67,$J52:BM52)&lt;0.5,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IF(SUMPRODUCT($J$67:BP$67,$J52:BP52)&lt;0.5,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IF(SUMPRODUCT($J$67:BS$67,$J52:BS52)&lt;0.5,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IF(SUMPRODUCT($J$67:BV$67,$J52:BV52)&lt;0.5,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IF(SUMPRODUCT($J$67:BY$67,$J52:BY52)&lt;0.5,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IF(SUMPRODUCT($J$67:CB$67,$J52:CB52)&lt;0.5, "Pending", IF(CB52&lt;0.5, "Complete", "In Progress"))</f>
        <v>#REF!</v>
      </c>
      <c r="CD52" s="24"/>
      <c r="CE52" s="25">
        <f>SUMPRODUCT($H$67:AY$67,$H52:AY52)</f>
        <v>0</v>
      </c>
    </row>
    <row r="53" spans="1:83" x14ac:dyDescent="0.2">
      <c r="A53" s="16"/>
      <c r="B53" s="16"/>
      <c r="C53" s="16"/>
      <c r="D53" s="17"/>
      <c r="E53" s="168"/>
      <c r="F53" s="18" t="s">
        <v>133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IF(SUMPRODUCT($J$67:K$67,$J53:K53)&lt;0.5,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IF(SUMPRODUCT($J$67:N$67,$J53:N53)&lt;0.5,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IF(SUMPRODUCT($J$67:Q$67,$J53:Q53)&lt;0.5,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IF(SUMPRODUCT($J$67:T$67,$J53:T53)&lt;0.5,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IF(SUMPRODUCT($J$67:W$67,$J53:W53)&lt;0.5,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IF(SUMPRODUCT($J$67:Z$67,$J53:Z53)&lt;0.5,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IF(SUMPRODUCT($J$67:AC$67,$J53:AC53)&lt;0.5,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IF(SUMPRODUCT($J$67:AF$67,$J53:AF53)&lt;0.5,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IF(SUMPRODUCT($J$67:AI$67,$J53:AI53)&lt;0.5,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IF(SUMPRODUCT($J$67:AL$67,$J53:AL53)&lt;0.5,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IF(SUMPRODUCT($J$67:AO$67,$J53:AO53)&lt;0.5,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IF(SUMPRODUCT($J$67:AR$67,$J53:AR53)&lt;0.5,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IF(SUMPRODUCT($J$67:AU$67,$J53:AU53)&lt;0.5,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IF(SUMPRODUCT($J$67:AX$67,$J53:AX53)&lt;0.5,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IF(SUMPRODUCT($J$67:BA$67,$J53:BA53)&lt;0.5,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IF(SUMPRODUCT($J$67:BD$67,$J53:BD53)&lt;0.5,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IF(SUMPRODUCT($J$67:BG$67,$J53:BG53)&lt;0.5,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IF(SUMPRODUCT($J$67:BJ$67,$J53:BJ53)&lt;0.5,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IF(SUMPRODUCT($J$67:BM$67,$J53:BM53)&lt;0.5,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IF(SUMPRODUCT($J$67:BP$67,$J53:BP53)&lt;0.5,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IF(SUMPRODUCT($J$67:BS$67,$J53:BS53)&lt;0.5,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IF(SUMPRODUCT($J$67:BV$67,$J53:BV53)&lt;0.5,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IF(SUMPRODUCT($J$67:BY$67,$J53:BY53)&lt;0.5,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IF(SUMPRODUCT($J$67:CB$67,$J53:CB53)&lt;0.5, "Pending", IF(CB53&lt;0.5, "Complete", "In Progress"))</f>
        <v>#REF!</v>
      </c>
      <c r="CD53" s="24"/>
      <c r="CE53" s="25">
        <f>SUMPRODUCT($H$67:AY$67,$H53:AY53)</f>
        <v>0</v>
      </c>
    </row>
    <row r="54" spans="1:83" x14ac:dyDescent="0.2">
      <c r="A54" s="16"/>
      <c r="B54" s="16"/>
      <c r="C54" s="16"/>
      <c r="D54" s="17"/>
      <c r="E54" s="168"/>
      <c r="F54" s="18" t="s">
        <v>133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IF(SUMPRODUCT($J$67:K$67,$J54:K54)&lt;0.5,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IF(SUMPRODUCT($J$67:N$67,$J54:N54)&lt;0.5,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IF(SUMPRODUCT($J$67:Q$67,$J54:Q54)&lt;0.5,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IF(SUMPRODUCT($J$67:T$67,$J54:T54)&lt;0.5,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IF(SUMPRODUCT($J$67:W$67,$J54:W54)&lt;0.5,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IF(SUMPRODUCT($J$67:Z$67,$J54:Z54)&lt;0.5,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IF(SUMPRODUCT($J$67:AC$67,$J54:AC54)&lt;0.5,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IF(SUMPRODUCT($J$67:AF$67,$J54:AF54)&lt;0.5,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IF(SUMPRODUCT($J$67:AI$67,$J54:AI54)&lt;0.5,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IF(SUMPRODUCT($J$67:AL$67,$J54:AL54)&lt;0.5,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IF(SUMPRODUCT($J$67:AO$67,$J54:AO54)&lt;0.5,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IF(SUMPRODUCT($J$67:AR$67,$J54:AR54)&lt;0.5,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IF(SUMPRODUCT($J$67:AU$67,$J54:AU54)&lt;0.5,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IF(SUMPRODUCT($J$67:AX$67,$J54:AX54)&lt;0.5,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IF(SUMPRODUCT($J$67:BA$67,$J54:BA54)&lt;0.5,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IF(SUMPRODUCT($J$67:BD$67,$J54:BD54)&lt;0.5,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IF(SUMPRODUCT($J$67:BG$67,$J54:BG54)&lt;0.5,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IF(SUMPRODUCT($J$67:BJ$67,$J54:BJ54)&lt;0.5,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IF(SUMPRODUCT($J$67:BM$67,$J54:BM54)&lt;0.5,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IF(SUMPRODUCT($J$67:BP$67,$J54:BP54)&lt;0.5,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IF(SUMPRODUCT($J$67:BS$67,$J54:BS54)&lt;0.5,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IF(SUMPRODUCT($J$67:BV$67,$J54:BV54)&lt;0.5,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IF(SUMPRODUCT($J$67:BY$67,$J54:BY54)&lt;0.5,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IF(SUMPRODUCT($J$67:CB$67,$J54:CB54)&lt;0.5, "Pending", IF(CB54&lt;0.5, "Complete", "In Progress"))</f>
        <v>#REF!</v>
      </c>
      <c r="CD54" s="24"/>
      <c r="CE54" s="25">
        <f>SUMPRODUCT($H$67:AY$67,$H54:AY54)</f>
        <v>0</v>
      </c>
    </row>
    <row r="55" spans="1:83" x14ac:dyDescent="0.2">
      <c r="A55" s="16"/>
      <c r="B55" s="16"/>
      <c r="C55" s="16"/>
      <c r="D55" s="17"/>
      <c r="E55" s="168"/>
      <c r="F55" s="18" t="s">
        <v>133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IF(SUMPRODUCT($J$67:K$67,$J55:K55)&lt;0.5,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IF(SUMPRODUCT($J$67:N$67,$J55:N55)&lt;0.5,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IF(SUMPRODUCT($J$67:Q$67,$J55:Q55)&lt;0.5,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IF(SUMPRODUCT($J$67:T$67,$J55:T55)&lt;0.5,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IF(SUMPRODUCT($J$67:W$67,$J55:W55)&lt;0.5,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IF(SUMPRODUCT($J$67:Z$67,$J55:Z55)&lt;0.5,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IF(SUMPRODUCT($J$67:AC$67,$J55:AC55)&lt;0.5,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IF(SUMPRODUCT($J$67:AF$67,$J55:AF55)&lt;0.5,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IF(SUMPRODUCT($J$67:AI$67,$J55:AI55)&lt;0.5,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IF(SUMPRODUCT($J$67:AL$67,$J55:AL55)&lt;0.5,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IF(SUMPRODUCT($J$67:AO$67,$J55:AO55)&lt;0.5,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IF(SUMPRODUCT($J$67:AR$67,$J55:AR55)&lt;0.5,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IF(SUMPRODUCT($J$67:AU$67,$J55:AU55)&lt;0.5,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IF(SUMPRODUCT($J$67:AX$67,$J55:AX55)&lt;0.5,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IF(SUMPRODUCT($J$67:BA$67,$J55:BA55)&lt;0.5,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IF(SUMPRODUCT($J$67:BD$67,$J55:BD55)&lt;0.5,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IF(SUMPRODUCT($J$67:BG$67,$J55:BG55)&lt;0.5,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IF(SUMPRODUCT($J$67:BJ$67,$J55:BJ55)&lt;0.5,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IF(SUMPRODUCT($J$67:BM$67,$J55:BM55)&lt;0.5,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IF(SUMPRODUCT($J$67:BP$67,$J55:BP55)&lt;0.5,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IF(SUMPRODUCT($J$67:BS$67,$J55:BS55)&lt;0.5,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IF(SUMPRODUCT($J$67:BV$67,$J55:BV55)&lt;0.5,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IF(SUMPRODUCT($J$67:BY$67,$J55:BY55)&lt;0.5,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IF(SUMPRODUCT($J$67:CB$67,$J55:CB55)&lt;0.5, "Pending", IF(CB55&lt;0.5, "Complete", "In Progress"))</f>
        <v>#REF!</v>
      </c>
      <c r="CD55" s="24"/>
      <c r="CE55" s="25">
        <f>SUMPRODUCT($H$67:AY$67,$H55:AY55)</f>
        <v>0</v>
      </c>
    </row>
    <row r="56" spans="1:83" x14ac:dyDescent="0.2">
      <c r="A56" s="16"/>
      <c r="B56" s="16"/>
      <c r="C56" s="16"/>
      <c r="D56" s="17"/>
      <c r="E56" s="168"/>
      <c r="F56" s="18" t="s">
        <v>133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IF(SUMPRODUCT($J$67:K$67,$J56:K56)&lt;0.5,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IF(SUMPRODUCT($J$67:N$67,$J56:N56)&lt;0.5,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IF(SUMPRODUCT($J$67:Q$67,$J56:Q56)&lt;0.5,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IF(SUMPRODUCT($J$67:T$67,$J56:T56)&lt;0.5,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IF(SUMPRODUCT($J$67:W$67,$J56:W56)&lt;0.5,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IF(SUMPRODUCT($J$67:Z$67,$J56:Z56)&lt;0.5,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IF(SUMPRODUCT($J$67:AC$67,$J56:AC56)&lt;0.5,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IF(SUMPRODUCT($J$67:AF$67,$J56:AF56)&lt;0.5,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IF(SUMPRODUCT($J$67:AI$67,$J56:AI56)&lt;0.5,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IF(SUMPRODUCT($J$67:AL$67,$J56:AL56)&lt;0.5,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IF(SUMPRODUCT($J$67:AO$67,$J56:AO56)&lt;0.5,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IF(SUMPRODUCT($J$67:AR$67,$J56:AR56)&lt;0.5,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IF(SUMPRODUCT($J$67:AU$67,$J56:AU56)&lt;0.5,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IF(SUMPRODUCT($J$67:AX$67,$J56:AX56)&lt;0.5,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IF(SUMPRODUCT($J$67:BA$67,$J56:BA56)&lt;0.5,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IF(SUMPRODUCT($J$67:BD$67,$J56:BD56)&lt;0.5,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IF(SUMPRODUCT($J$67:BG$67,$J56:BG56)&lt;0.5,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IF(SUMPRODUCT($J$67:BJ$67,$J56:BJ56)&lt;0.5,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IF(SUMPRODUCT($J$67:BM$67,$J56:BM56)&lt;0.5,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IF(SUMPRODUCT($J$67:BP$67,$J56:BP56)&lt;0.5,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IF(SUMPRODUCT($J$67:BS$67,$J56:BS56)&lt;0.5,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IF(SUMPRODUCT($J$67:BV$67,$J56:BV56)&lt;0.5,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IF(SUMPRODUCT($J$67:BY$67,$J56:BY56)&lt;0.5,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IF(SUMPRODUCT($J$67:CB$67,$J56:CB56)&lt;0.5, "Pending", IF(CB56&lt;0.5, "Complete", "In Progress"))</f>
        <v>#REF!</v>
      </c>
      <c r="CD56" s="24"/>
      <c r="CE56" s="25">
        <f>SUMPRODUCT($H$67:AY$67,$H56:AY56)</f>
        <v>0</v>
      </c>
    </row>
    <row r="57" spans="1:83" x14ac:dyDescent="0.2">
      <c r="A57" s="16"/>
      <c r="B57" s="16"/>
      <c r="C57" s="16"/>
      <c r="D57" s="17"/>
      <c r="E57" s="168"/>
      <c r="F57" s="18" t="s">
        <v>133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IF(SUMPRODUCT($J$67:K$67,$J57:K57)&lt;0.5,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IF(SUMPRODUCT($J$67:N$67,$J57:N57)&lt;0.5,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IF(SUMPRODUCT($J$67:Q$67,$J57:Q57)&lt;0.5,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IF(SUMPRODUCT($J$67:T$67,$J57:T57)&lt;0.5,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IF(SUMPRODUCT($J$67:W$67,$J57:W57)&lt;0.5,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IF(SUMPRODUCT($J$67:Z$67,$J57:Z57)&lt;0.5,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IF(SUMPRODUCT($J$67:AC$67,$J57:AC57)&lt;0.5,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IF(SUMPRODUCT($J$67:AF$67,$J57:AF57)&lt;0.5,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IF(SUMPRODUCT($J$67:AI$67,$J57:AI57)&lt;0.5,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IF(SUMPRODUCT($J$67:AL$67,$J57:AL57)&lt;0.5,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IF(SUMPRODUCT($J$67:AO$67,$J57:AO57)&lt;0.5,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IF(SUMPRODUCT($J$67:AR$67,$J57:AR57)&lt;0.5,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IF(SUMPRODUCT($J$67:AU$67,$J57:AU57)&lt;0.5,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IF(SUMPRODUCT($J$67:AX$67,$J57:AX57)&lt;0.5,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IF(SUMPRODUCT($J$67:BA$67,$J57:BA57)&lt;0.5,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IF(SUMPRODUCT($J$67:BD$67,$J57:BD57)&lt;0.5,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IF(SUMPRODUCT($J$67:BG$67,$J57:BG57)&lt;0.5,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IF(SUMPRODUCT($J$67:BJ$67,$J57:BJ57)&lt;0.5,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IF(SUMPRODUCT($J$67:BM$67,$J57:BM57)&lt;0.5,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IF(SUMPRODUCT($J$67:BP$67,$J57:BP57)&lt;0.5,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IF(SUMPRODUCT($J$67:BS$67,$J57:BS57)&lt;0.5,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IF(SUMPRODUCT($J$67:BV$67,$J57:BV57)&lt;0.5,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IF(SUMPRODUCT($J$67:BY$67,$J57:BY57)&lt;0.5,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IF(SUMPRODUCT($J$67:CB$67,$J57:CB57)&lt;0.5, "Pending", IF(CB57&lt;0.5, "Complete", "In Progress"))</f>
        <v>#REF!</v>
      </c>
      <c r="CD57" s="24"/>
      <c r="CE57" s="25">
        <f>SUMPRODUCT($H$67:AY$67,$H57:AY57)</f>
        <v>0</v>
      </c>
    </row>
    <row r="58" spans="1:83" x14ac:dyDescent="0.2">
      <c r="A58" s="16"/>
      <c r="B58" s="16"/>
      <c r="C58" s="16"/>
      <c r="D58" s="17"/>
      <c r="E58" s="168"/>
      <c r="F58" s="18" t="s">
        <v>133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IF(SUMPRODUCT($J$67:K$67,$J58:K58)&lt;0.5,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IF(SUMPRODUCT($J$67:N$67,$J58:N58)&lt;0.5,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IF(SUMPRODUCT($J$67:Q$67,$J58:Q58)&lt;0.5,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IF(SUMPRODUCT($J$67:T$67,$J58:T58)&lt;0.5,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IF(SUMPRODUCT($J$67:W$67,$J58:W58)&lt;0.5,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IF(SUMPRODUCT($J$67:Z$67,$J58:Z58)&lt;0.5,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IF(SUMPRODUCT($J$67:AC$67,$J58:AC58)&lt;0.5,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IF(SUMPRODUCT($J$67:AF$67,$J58:AF58)&lt;0.5,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IF(SUMPRODUCT($J$67:AI$67,$J58:AI58)&lt;0.5,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IF(SUMPRODUCT($J$67:AL$67,$J58:AL58)&lt;0.5,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IF(SUMPRODUCT($J$67:AO$67,$J58:AO58)&lt;0.5,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IF(SUMPRODUCT($J$67:AR$67,$J58:AR58)&lt;0.5,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IF(SUMPRODUCT($J$67:AU$67,$J58:AU58)&lt;0.5,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IF(SUMPRODUCT($J$67:AX$67,$J58:AX58)&lt;0.5,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IF(SUMPRODUCT($J$67:BA$67,$J58:BA58)&lt;0.5,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IF(SUMPRODUCT($J$67:BD$67,$J58:BD58)&lt;0.5,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IF(SUMPRODUCT($J$67:BG$67,$J58:BG58)&lt;0.5,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IF(SUMPRODUCT($J$67:BJ$67,$J58:BJ58)&lt;0.5,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IF(SUMPRODUCT($J$67:BM$67,$J58:BM58)&lt;0.5,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IF(SUMPRODUCT($J$67:BP$67,$J58:BP58)&lt;0.5,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IF(SUMPRODUCT($J$67:BS$67,$J58:BS58)&lt;0.5,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IF(SUMPRODUCT($J$67:BV$67,$J58:BV58)&lt;0.5,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IF(SUMPRODUCT($J$67:BY$67,$J58:BY58)&lt;0.5,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IF(SUMPRODUCT($J$67:CB$67,$J58:CB58)&lt;0.5, "Pending", IF(CB58&lt;0.5, "Complete", "In Progress"))</f>
        <v>#REF!</v>
      </c>
      <c r="CD58" s="24"/>
      <c r="CE58" s="25">
        <f>SUMPRODUCT($H$67:AY$67,$H58:AY58)</f>
        <v>0</v>
      </c>
    </row>
    <row r="59" spans="1:83" x14ac:dyDescent="0.2">
      <c r="A59" s="16"/>
      <c r="B59" s="16"/>
      <c r="C59" s="16"/>
      <c r="D59" s="17"/>
      <c r="E59" s="168"/>
      <c r="F59" s="18" t="s">
        <v>133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IF(SUMPRODUCT($J$67:K$67,$J59:K59)&lt;0.5,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IF(SUMPRODUCT($J$67:N$67,$J59:N59)&lt;0.5,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IF(SUMPRODUCT($J$67:Q$67,$J59:Q59)&lt;0.5,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IF(SUMPRODUCT($J$67:T$67,$J59:T59)&lt;0.5,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IF(SUMPRODUCT($J$67:W$67,$J59:W59)&lt;0.5,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IF(SUMPRODUCT($J$67:Z$67,$J59:Z59)&lt;0.5,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IF(SUMPRODUCT($J$67:AC$67,$J59:AC59)&lt;0.5,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IF(SUMPRODUCT($J$67:AF$67,$J59:AF59)&lt;0.5,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IF(SUMPRODUCT($J$67:AI$67,$J59:AI59)&lt;0.5,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IF(SUMPRODUCT($J$67:AL$67,$J59:AL59)&lt;0.5,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IF(SUMPRODUCT($J$67:AO$67,$J59:AO59)&lt;0.5,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IF(SUMPRODUCT($J$67:AR$67,$J59:AR59)&lt;0.5,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IF(SUMPRODUCT($J$67:AU$67,$J59:AU59)&lt;0.5,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IF(SUMPRODUCT($J$67:AX$67,$J59:AX59)&lt;0.5,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IF(SUMPRODUCT($J$67:BA$67,$J59:BA59)&lt;0.5,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IF(SUMPRODUCT($J$67:BD$67,$J59:BD59)&lt;0.5,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IF(SUMPRODUCT($J$67:BG$67,$J59:BG59)&lt;0.5,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IF(SUMPRODUCT($J$67:BJ$67,$J59:BJ59)&lt;0.5,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IF(SUMPRODUCT($J$67:BM$67,$J59:BM59)&lt;0.5,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IF(SUMPRODUCT($J$67:BP$67,$J59:BP59)&lt;0.5,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IF(SUMPRODUCT($J$67:BS$67,$J59:BS59)&lt;0.5,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IF(SUMPRODUCT($J$67:BV$67,$J59:BV59)&lt;0.5,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IF(SUMPRODUCT($J$67:BY$67,$J59:BY59)&lt;0.5,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IF(SUMPRODUCT($J$67:CB$67,$J59:CB59)&lt;0.5, "Pending", IF(CB59&lt;0.5, "Complete", "In Progress"))</f>
        <v>#REF!</v>
      </c>
      <c r="CD59" s="24"/>
      <c r="CE59" s="25">
        <f>SUMPRODUCT($H$67:AY$67,$H59:AY59)</f>
        <v>0</v>
      </c>
    </row>
    <row r="60" spans="1:83" x14ac:dyDescent="0.2">
      <c r="A60" s="16"/>
      <c r="B60" s="16"/>
      <c r="C60" s="16"/>
      <c r="D60" s="17"/>
      <c r="E60" s="168"/>
      <c r="F60" s="18" t="s">
        <v>133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IF(SUMPRODUCT($J$67:K$67,$J60:K60)&lt;0.5,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IF(SUMPRODUCT($J$67:N$67,$J60:N60)&lt;0.5,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IF(SUMPRODUCT($J$67:Q$67,$J60:Q60)&lt;0.5,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IF(SUMPRODUCT($J$67:T$67,$J60:T60)&lt;0.5,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IF(SUMPRODUCT($J$67:W$67,$J60:W60)&lt;0.5,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IF(SUMPRODUCT($J$67:Z$67,$J60:Z60)&lt;0.5,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IF(SUMPRODUCT($J$67:AC$67,$J60:AC60)&lt;0.5,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IF(SUMPRODUCT($J$67:AF$67,$J60:AF60)&lt;0.5,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IF(SUMPRODUCT($J$67:AI$67,$J60:AI60)&lt;0.5,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IF(SUMPRODUCT($J$67:AL$67,$J60:AL60)&lt;0.5,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IF(SUMPRODUCT($J$67:AO$67,$J60:AO60)&lt;0.5,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IF(SUMPRODUCT($J$67:AR$67,$J60:AR60)&lt;0.5,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IF(SUMPRODUCT($J$67:AU$67,$J60:AU60)&lt;0.5,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IF(SUMPRODUCT($J$67:AX$67,$J60:AX60)&lt;0.5,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IF(SUMPRODUCT($J$67:BA$67,$J60:BA60)&lt;0.5,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IF(SUMPRODUCT($J$67:BD$67,$J60:BD60)&lt;0.5,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IF(SUMPRODUCT($J$67:BG$67,$J60:BG60)&lt;0.5,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IF(SUMPRODUCT($J$67:BJ$67,$J60:BJ60)&lt;0.5,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IF(SUMPRODUCT($J$67:BM$67,$J60:BM60)&lt;0.5,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IF(SUMPRODUCT($J$67:BP$67,$J60:BP60)&lt;0.5,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IF(SUMPRODUCT($J$67:BS$67,$J60:BS60)&lt;0.5,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IF(SUMPRODUCT($J$67:BV$67,$J60:BV60)&lt;0.5,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IF(SUMPRODUCT($J$67:BY$67,$J60:BY60)&lt;0.5,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IF(SUMPRODUCT($J$67:CB$67,$J60:CB60)&lt;0.5, "Pending", IF(CB60&lt;0.5, "Complete", "In Progress"))</f>
        <v>#REF!</v>
      </c>
      <c r="CD60" s="24"/>
      <c r="CE60" s="25">
        <f>SUMPRODUCT($H$67:AY$67,$H60:AY60)</f>
        <v>0</v>
      </c>
    </row>
    <row r="61" spans="1:83" x14ac:dyDescent="0.2">
      <c r="A61" s="16"/>
      <c r="B61" s="16"/>
      <c r="C61" s="16"/>
      <c r="D61" s="17"/>
      <c r="E61" s="168"/>
      <c r="F61" s="18" t="s">
        <v>133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si="24"/>
        <v>0</v>
      </c>
      <c r="L61" s="23" t="str">
        <f>IF(SUMPRODUCT($J$67:K$67,$J61:K61)&lt;0.5, "Pending", IF(K61&lt;0.5, "Complete", "In Progress"))</f>
        <v>Pending</v>
      </c>
      <c r="M61" s="22">
        <v>0</v>
      </c>
      <c r="N61" s="22">
        <f t="shared" si="25"/>
        <v>0</v>
      </c>
      <c r="O61" s="23" t="str">
        <f>IF(SUMPRODUCT($J$67:N$67,$J61:N61)&lt;0.5, "Pending", IF(N61&lt;0.5, "Complete", "In Progress"))</f>
        <v>Pending</v>
      </c>
      <c r="P61" s="22">
        <v>0</v>
      </c>
      <c r="Q61" s="22">
        <f t="shared" si="26"/>
        <v>0</v>
      </c>
      <c r="R61" s="23" t="str">
        <f>IF(SUMPRODUCT($J$67:Q$67,$J61:Q61)&lt;0.5, "Pending", IF(Q61&lt;0.5, "Complete", "In Progress"))</f>
        <v>Pending</v>
      </c>
      <c r="S61" s="22">
        <v>0</v>
      </c>
      <c r="T61" s="22">
        <f t="shared" si="27"/>
        <v>0</v>
      </c>
      <c r="U61" s="23" t="str">
        <f>IF(SUMPRODUCT($J$67:T$67,$J61:T61)&lt;0.5, "Pending", IF(T61&lt;0.5, "Complete", "In Progress"))</f>
        <v>Pending</v>
      </c>
      <c r="V61" s="22">
        <v>0</v>
      </c>
      <c r="W61" s="22">
        <f t="shared" si="28"/>
        <v>0</v>
      </c>
      <c r="X61" s="23" t="str">
        <f>IF(SUMPRODUCT($J$67:W$67,$J61:W61)&lt;0.5, "Pending", IF(W61&lt;0.5, "Complete", "In Progress"))</f>
        <v>Pending</v>
      </c>
      <c r="Y61" s="22">
        <v>0</v>
      </c>
      <c r="Z61" s="22">
        <f t="shared" si="29"/>
        <v>0</v>
      </c>
      <c r="AA61" s="23" t="str">
        <f>IF(SUMPRODUCT($J$67:Z$67,$J61:Z61)&lt;0.5, "Pending", IF(Z61&lt;0.5, "Complete", "In Progress"))</f>
        <v>Pending</v>
      </c>
      <c r="AB61" s="22">
        <v>0</v>
      </c>
      <c r="AC61" s="22">
        <f t="shared" si="30"/>
        <v>0</v>
      </c>
      <c r="AD61" s="23" t="str">
        <f>IF(SUMPRODUCT($J$67:AC$67,$J61:AC61)&lt;0.5, "Pending", IF(AC61&lt;0.5, "Complete", "In Progress"))</f>
        <v>Pending</v>
      </c>
      <c r="AE61" s="22">
        <v>0</v>
      </c>
      <c r="AF61" s="22">
        <f t="shared" si="31"/>
        <v>0</v>
      </c>
      <c r="AG61" s="23" t="str">
        <f>IF(SUMPRODUCT($J$67:AF$67,$J61:AF61)&lt;0.5, "Pending", IF(AF61&lt;0.5, "Complete", "In Progress"))</f>
        <v>Pending</v>
      </c>
      <c r="AH61" s="22">
        <v>0</v>
      </c>
      <c r="AI61" s="22">
        <f t="shared" si="32"/>
        <v>0</v>
      </c>
      <c r="AJ61" s="23" t="str">
        <f>IF(SUMPRODUCT($J$67:AI$67,$J61:AI61)&lt;0.5, "Pending", IF(AI61&lt;0.5, "Complete", "In Progress"))</f>
        <v>Pending</v>
      </c>
      <c r="AK61" s="22">
        <v>0</v>
      </c>
      <c r="AL61" s="22">
        <f t="shared" si="33"/>
        <v>0</v>
      </c>
      <c r="AM61" s="23" t="str">
        <f>IF(SUMPRODUCT($J$67:AL$67,$J61:AL61)&lt;0.5, "Pending", IF(AL61&lt;0.5, "Complete", "In Progress"))</f>
        <v>Pending</v>
      </c>
      <c r="AN61" s="22">
        <v>0</v>
      </c>
      <c r="AO61" s="22">
        <f t="shared" si="34"/>
        <v>0</v>
      </c>
      <c r="AP61" s="23" t="str">
        <f>IF(SUMPRODUCT($J$67:AO$67,$J61:AO61)&lt;0.5, "Pending", IF(AO61&lt;0.5, "Complete", "In Progress"))</f>
        <v>Pending</v>
      </c>
      <c r="AQ61" s="22">
        <v>0</v>
      </c>
      <c r="AR61" s="22">
        <f t="shared" si="35"/>
        <v>0</v>
      </c>
      <c r="AS61" s="23" t="str">
        <f>IF(SUMPRODUCT($J$67:AR$67,$J61:AR61)&lt;0.5, "Pending", IF(AR61&lt;0.5, "Complete", "In Progress"))</f>
        <v>Pending</v>
      </c>
      <c r="AT61" s="22">
        <v>0</v>
      </c>
      <c r="AU61" s="22">
        <f t="shared" si="36"/>
        <v>0</v>
      </c>
      <c r="AV61" s="23" t="str">
        <f>IF(SUMPRODUCT($J$67:AU$67,$J61:AU61)&lt;0.5, "Pending", IF(AU61&lt;0.5, "Complete", "In Progress"))</f>
        <v>Pending</v>
      </c>
      <c r="AW61" s="22">
        <v>0</v>
      </c>
      <c r="AX61" s="22">
        <f t="shared" si="37"/>
        <v>0</v>
      </c>
      <c r="AY61" s="23" t="str">
        <f>IF(SUMPRODUCT($J$67:AX$67,$J61:AX61)&lt;0.5,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IF(SUMPRODUCT($J$67:BA$67,$J61:BA61)&lt;0.5, "Pending", IF(BA61&lt;0.5, "Complete", "In Progress"))</f>
        <v>#REF!</v>
      </c>
      <c r="BC61" s="22">
        <v>0</v>
      </c>
      <c r="BD61" s="22" t="e">
        <f t="shared" si="38"/>
        <v>#REF!</v>
      </c>
      <c r="BE61" s="23" t="e">
        <f>IF(SUMPRODUCT($J$67:BD$67,$J61:BD61)&lt;0.5, "Pending", IF(BD61&lt;0.5, "Complete", "In Progress"))</f>
        <v>#REF!</v>
      </c>
      <c r="BF61" s="22">
        <v>0</v>
      </c>
      <c r="BG61" s="22" t="e">
        <f t="shared" si="39"/>
        <v>#REF!</v>
      </c>
      <c r="BH61" s="23" t="e">
        <f>IF(SUMPRODUCT($J$67:BG$67,$J61:BG61)&lt;0.5, "Pending", IF(BG61&lt;0.5, "Complete", "In Progress"))</f>
        <v>#REF!</v>
      </c>
      <c r="BI61" s="22">
        <v>0</v>
      </c>
      <c r="BJ61" s="22" t="e">
        <f t="shared" si="40"/>
        <v>#REF!</v>
      </c>
      <c r="BK61" s="23" t="e">
        <f>IF(SUMPRODUCT($J$67:BJ$67,$J61:BJ61)&lt;0.5, "Pending", IF(BJ61&lt;0.5, "Complete", "In Progress"))</f>
        <v>#REF!</v>
      </c>
      <c r="BL61" s="22">
        <v>0</v>
      </c>
      <c r="BM61" s="22" t="e">
        <f t="shared" si="41"/>
        <v>#REF!</v>
      </c>
      <c r="BN61" s="23" t="e">
        <f>IF(SUMPRODUCT($J$67:BM$67,$J61:BM61)&lt;0.5, "Pending", IF(BM61&lt;0.5, "Complete", "In Progress"))</f>
        <v>#REF!</v>
      </c>
      <c r="BO61" s="22">
        <v>0</v>
      </c>
      <c r="BP61" s="22" t="e">
        <f t="shared" si="42"/>
        <v>#REF!</v>
      </c>
      <c r="BQ61" s="23" t="e">
        <f>IF(SUMPRODUCT($J$67:BP$67,$J61:BP61)&lt;0.5, "Pending", IF(BP61&lt;0.5, "Complete", "In Progress"))</f>
        <v>#REF!</v>
      </c>
      <c r="BR61" s="22">
        <v>0</v>
      </c>
      <c r="BS61" s="22" t="e">
        <f t="shared" si="43"/>
        <v>#REF!</v>
      </c>
      <c r="BT61" s="23" t="e">
        <f>IF(SUMPRODUCT($J$67:BS$67,$J61:BS61)&lt;0.5, "Pending", IF(BS61&lt;0.5, "Complete", "In Progress"))</f>
        <v>#REF!</v>
      </c>
      <c r="BU61" s="22">
        <v>0</v>
      </c>
      <c r="BV61" s="22" t="e">
        <f t="shared" si="44"/>
        <v>#REF!</v>
      </c>
      <c r="BW61" s="23" t="e">
        <f>IF(SUMPRODUCT($J$67:BV$67,$J61:BV61)&lt;0.5, "Pending", IF(BV61&lt;0.5, "Complete", "In Progress"))</f>
        <v>#REF!</v>
      </c>
      <c r="BX61" s="22">
        <v>0</v>
      </c>
      <c r="BY61" s="22" t="e">
        <f t="shared" si="45"/>
        <v>#REF!</v>
      </c>
      <c r="BZ61" s="23" t="e">
        <f>IF(SUMPRODUCT($J$67:BY$67,$J61:BY61)&lt;0.5, "Pending", IF(BY61&lt;0.5, "Complete", "In Progress"))</f>
        <v>#REF!</v>
      </c>
      <c r="CA61" s="22">
        <v>0</v>
      </c>
      <c r="CB61" s="22" t="e">
        <f t="shared" si="46"/>
        <v>#REF!</v>
      </c>
      <c r="CC61" s="23" t="e">
        <f>IF(SUMPRODUCT($J$67:CB$67,$J61:CB61)&lt;0.5, "Pending", IF(CB61&lt;0.5, "Complete", "In Progress"))</f>
        <v>#REF!</v>
      </c>
      <c r="CD61" s="24"/>
      <c r="CE61" s="25">
        <f>SUMPRODUCT($H$67:AY$67,$H61:AY61)</f>
        <v>0</v>
      </c>
    </row>
    <row r="62" spans="1:83" x14ac:dyDescent="0.2">
      <c r="A62" s="16"/>
      <c r="B62" s="16"/>
      <c r="C62" s="16"/>
      <c r="D62" s="17"/>
      <c r="E62" s="168"/>
      <c r="F62" s="18" t="s">
        <v>133</v>
      </c>
      <c r="G62" s="19" t="e">
        <f t="shared" ca="1" si="0"/>
        <v>#REF!</v>
      </c>
      <c r="H62" s="20">
        <v>1</v>
      </c>
      <c r="I62" s="21">
        <v>0</v>
      </c>
      <c r="J62" s="22">
        <v>0</v>
      </c>
      <c r="K62" s="22">
        <f t="shared" si="24"/>
        <v>0</v>
      </c>
      <c r="L62" s="23" t="str">
        <f>IF(SUMPRODUCT($J$67:K$67,$J62:K62)&lt;0.5, "Pending", IF(K62&lt;0.5, "Complete", "In Progress"))</f>
        <v>Pending</v>
      </c>
      <c r="M62" s="22">
        <v>0</v>
      </c>
      <c r="N62" s="22">
        <f t="shared" si="25"/>
        <v>0</v>
      </c>
      <c r="O62" s="23" t="str">
        <f>IF(SUMPRODUCT($J$67:N$67,$J62:N62)&lt;0.5, "Pending", IF(N62&lt;0.5, "Complete", "In Progress"))</f>
        <v>Pending</v>
      </c>
      <c r="P62" s="22">
        <v>0</v>
      </c>
      <c r="Q62" s="22">
        <f t="shared" si="26"/>
        <v>0</v>
      </c>
      <c r="R62" s="23" t="str">
        <f>IF(SUMPRODUCT($J$67:Q$67,$J62:Q62)&lt;0.5, "Pending", IF(Q62&lt;0.5, "Complete", "In Progress"))</f>
        <v>Pending</v>
      </c>
      <c r="S62" s="22">
        <v>0</v>
      </c>
      <c r="T62" s="22">
        <f t="shared" si="27"/>
        <v>0</v>
      </c>
      <c r="U62" s="23" t="str">
        <f>IF(SUMPRODUCT($J$67:T$67,$J62:T62)&lt;0.5, "Pending", IF(T62&lt;0.5, "Complete", "In Progress"))</f>
        <v>Pending</v>
      </c>
      <c r="V62" s="22">
        <v>0</v>
      </c>
      <c r="W62" s="22">
        <f t="shared" si="28"/>
        <v>0</v>
      </c>
      <c r="X62" s="23" t="str">
        <f>IF(SUMPRODUCT($J$67:W$67,$J62:W62)&lt;0.5, "Pending", IF(W62&lt;0.5, "Complete", "In Progress"))</f>
        <v>Pending</v>
      </c>
      <c r="Y62" s="22">
        <v>0</v>
      </c>
      <c r="Z62" s="22">
        <f t="shared" si="29"/>
        <v>0</v>
      </c>
      <c r="AA62" s="23" t="str">
        <f>IF(SUMPRODUCT($J$67:Z$67,$J62:Z62)&lt;0.5, "Pending", IF(Z62&lt;0.5, "Complete", "In Progress"))</f>
        <v>Pending</v>
      </c>
      <c r="AB62" s="22">
        <v>0</v>
      </c>
      <c r="AC62" s="22">
        <f t="shared" si="30"/>
        <v>0</v>
      </c>
      <c r="AD62" s="23" t="str">
        <f>IF(SUMPRODUCT($J$67:AC$67,$J62:AC62)&lt;0.5, "Pending", IF(AC62&lt;0.5, "Complete", "In Progress"))</f>
        <v>Pending</v>
      </c>
      <c r="AE62" s="22">
        <v>0</v>
      </c>
      <c r="AF62" s="22">
        <f t="shared" si="31"/>
        <v>0</v>
      </c>
      <c r="AG62" s="23" t="str">
        <f>IF(SUMPRODUCT($J$67:AF$67,$J62:AF62)&lt;0.5, "Pending", IF(AF62&lt;0.5, "Complete", "In Progress"))</f>
        <v>Pending</v>
      </c>
      <c r="AH62" s="22">
        <v>0</v>
      </c>
      <c r="AI62" s="22">
        <f t="shared" si="32"/>
        <v>0</v>
      </c>
      <c r="AJ62" s="23" t="str">
        <f>IF(SUMPRODUCT($J$67:AI$67,$J62:AI62)&lt;0.5, "Pending", IF(AI62&lt;0.5, "Complete", "In Progress"))</f>
        <v>Pending</v>
      </c>
      <c r="AK62" s="22">
        <v>0</v>
      </c>
      <c r="AL62" s="22">
        <f t="shared" si="33"/>
        <v>0</v>
      </c>
      <c r="AM62" s="23" t="str">
        <f>IF(SUMPRODUCT($J$67:AL$67,$J62:AL62)&lt;0.5, "Pending", IF(AL62&lt;0.5, "Complete", "In Progress"))</f>
        <v>Pending</v>
      </c>
      <c r="AN62" s="22">
        <v>0</v>
      </c>
      <c r="AO62" s="22">
        <f t="shared" si="34"/>
        <v>0</v>
      </c>
      <c r="AP62" s="23" t="str">
        <f>IF(SUMPRODUCT($J$67:AO$67,$J62:AO62)&lt;0.5, "Pending", IF(AO62&lt;0.5, "Complete", "In Progress"))</f>
        <v>Pending</v>
      </c>
      <c r="AQ62" s="22">
        <v>0</v>
      </c>
      <c r="AR62" s="22">
        <f t="shared" si="35"/>
        <v>0</v>
      </c>
      <c r="AS62" s="23" t="str">
        <f>IF(SUMPRODUCT($J$67:AR$67,$J62:AR62)&lt;0.5, "Pending", IF(AR62&lt;0.5, "Complete", "In Progress"))</f>
        <v>Pending</v>
      </c>
      <c r="AT62" s="22">
        <v>0</v>
      </c>
      <c r="AU62" s="22">
        <f t="shared" si="36"/>
        <v>0</v>
      </c>
      <c r="AV62" s="23" t="str">
        <f>IF(SUMPRODUCT($J$67:AU$67,$J62:AU62)&lt;0.5, "Pending", IF(AU62&lt;0.5, "Complete", "In Progress"))</f>
        <v>Pending</v>
      </c>
      <c r="AW62" s="22">
        <v>0</v>
      </c>
      <c r="AX62" s="22">
        <f t="shared" si="37"/>
        <v>0</v>
      </c>
      <c r="AY62" s="23" t="str">
        <f>IF(SUMPRODUCT($J$67:AX$67,$J62:AX62)&lt;0.5, "Pending", IF(AX62&lt;0.5, "Complete", "In Progress"))</f>
        <v>Pending</v>
      </c>
      <c r="AZ62" s="22">
        <v>0</v>
      </c>
      <c r="BA62" s="22" t="e">
        <f>MAX(#REF!-AZ62,0)</f>
        <v>#REF!</v>
      </c>
      <c r="BB62" s="23" t="e">
        <f>IF(SUMPRODUCT($J$67:BA$67,$J62:BA62)&lt;0.5, "Pending", IF(BA62&lt;0.5, "Complete", "In Progress"))</f>
        <v>#REF!</v>
      </c>
      <c r="BC62" s="22">
        <v>0</v>
      </c>
      <c r="BD62" s="22" t="e">
        <f t="shared" si="38"/>
        <v>#REF!</v>
      </c>
      <c r="BE62" s="23" t="e">
        <f>IF(SUMPRODUCT($J$67:BD$67,$J62:BD62)&lt;0.5, "Pending", IF(BD62&lt;0.5, "Complete", "In Progress"))</f>
        <v>#REF!</v>
      </c>
      <c r="BF62" s="22">
        <v>0</v>
      </c>
      <c r="BG62" s="22" t="e">
        <f t="shared" si="39"/>
        <v>#REF!</v>
      </c>
      <c r="BH62" s="23" t="e">
        <f>IF(SUMPRODUCT($J$67:BG$67,$J62:BG62)&lt;0.5, "Pending", IF(BG62&lt;0.5, "Complete", "In Progress"))</f>
        <v>#REF!</v>
      </c>
      <c r="BI62" s="22">
        <v>0</v>
      </c>
      <c r="BJ62" s="22" t="e">
        <f t="shared" si="40"/>
        <v>#REF!</v>
      </c>
      <c r="BK62" s="23" t="e">
        <f>IF(SUMPRODUCT($J$67:BJ$67,$J62:BJ62)&lt;0.5, "Pending", IF(BJ62&lt;0.5, "Complete", "In Progress"))</f>
        <v>#REF!</v>
      </c>
      <c r="BL62" s="22">
        <v>0</v>
      </c>
      <c r="BM62" s="22" t="e">
        <f t="shared" si="41"/>
        <v>#REF!</v>
      </c>
      <c r="BN62" s="23" t="e">
        <f>IF(SUMPRODUCT($J$67:BM$67,$J62:BM62)&lt;0.5, "Pending", IF(BM62&lt;0.5, "Complete", "In Progress"))</f>
        <v>#REF!</v>
      </c>
      <c r="BO62" s="22">
        <v>0</v>
      </c>
      <c r="BP62" s="22" t="e">
        <f t="shared" si="42"/>
        <v>#REF!</v>
      </c>
      <c r="BQ62" s="23" t="e">
        <f>IF(SUMPRODUCT($J$67:BP$67,$J62:BP62)&lt;0.5, "Pending", IF(BP62&lt;0.5, "Complete", "In Progress"))</f>
        <v>#REF!</v>
      </c>
      <c r="BR62" s="22">
        <v>0</v>
      </c>
      <c r="BS62" s="22" t="e">
        <f t="shared" si="43"/>
        <v>#REF!</v>
      </c>
      <c r="BT62" s="23" t="e">
        <f>IF(SUMPRODUCT($J$67:BS$67,$J62:BS62)&lt;0.5, "Pending", IF(BS62&lt;0.5, "Complete", "In Progress"))</f>
        <v>#REF!</v>
      </c>
      <c r="BU62" s="22">
        <v>0</v>
      </c>
      <c r="BV62" s="22" t="e">
        <f t="shared" si="44"/>
        <v>#REF!</v>
      </c>
      <c r="BW62" s="23" t="e">
        <f>IF(SUMPRODUCT($J$67:BV$67,$J62:BV62)&lt;0.5, "Pending", IF(BV62&lt;0.5, "Complete", "In Progress"))</f>
        <v>#REF!</v>
      </c>
      <c r="BX62" s="22">
        <v>0</v>
      </c>
      <c r="BY62" s="22" t="e">
        <f t="shared" si="45"/>
        <v>#REF!</v>
      </c>
      <c r="BZ62" s="23" t="e">
        <f>IF(SUMPRODUCT($J$67:BY$67,$J62:BY62)&lt;0.5, "Pending", IF(BY62&lt;0.5, "Complete", "In Progress"))</f>
        <v>#REF!</v>
      </c>
      <c r="CA62" s="22">
        <v>0</v>
      </c>
      <c r="CB62" s="22" t="e">
        <f t="shared" si="46"/>
        <v>#REF!</v>
      </c>
      <c r="CC62" s="23" t="e">
        <f>IF(SUMPRODUCT($J$67:CB$67,$J62:CB62)&lt;0.5, "Pending", IF(CB62&lt;0.5, "Complete", "In Progress"))</f>
        <v>#REF!</v>
      </c>
      <c r="CD62" s="24"/>
      <c r="CE62" s="25">
        <f>SUMPRODUCT($H$67:AY$67,$H62:AY62)</f>
        <v>0</v>
      </c>
    </row>
    <row r="63" spans="1:83" x14ac:dyDescent="0.2">
      <c r="A63" s="16"/>
      <c r="B63" s="16"/>
      <c r="C63" s="16"/>
      <c r="D63" s="17"/>
      <c r="E63" s="168"/>
      <c r="F63" s="18" t="s">
        <v>133</v>
      </c>
      <c r="G63" s="19" t="e">
        <f t="shared" ca="1" si="0"/>
        <v>#REF!</v>
      </c>
      <c r="H63" s="20">
        <v>1</v>
      </c>
      <c r="I63" s="21">
        <v>0</v>
      </c>
      <c r="J63" s="22">
        <v>0</v>
      </c>
      <c r="K63" s="22">
        <f t="shared" si="24"/>
        <v>0</v>
      </c>
      <c r="L63" s="23" t="str">
        <f>IF(SUMPRODUCT($J$67:K$67,$J63:K63)&lt;0.5, "Pending", IF(K63&lt;0.5, "Complete", "In Progress"))</f>
        <v>Pending</v>
      </c>
      <c r="M63" s="22">
        <v>0</v>
      </c>
      <c r="N63" s="22">
        <f t="shared" si="25"/>
        <v>0</v>
      </c>
      <c r="O63" s="23" t="str">
        <f>IF(SUMPRODUCT($J$67:N$67,$J63:N63)&lt;0.5, "Pending", IF(N63&lt;0.5, "Complete", "In Progress"))</f>
        <v>Pending</v>
      </c>
      <c r="P63" s="22">
        <v>0</v>
      </c>
      <c r="Q63" s="22">
        <f t="shared" si="26"/>
        <v>0</v>
      </c>
      <c r="R63" s="23" t="str">
        <f>IF(SUMPRODUCT($J$67:Q$67,$J63:Q63)&lt;0.5, "Pending", IF(Q63&lt;0.5, "Complete", "In Progress"))</f>
        <v>Pending</v>
      </c>
      <c r="S63" s="22">
        <v>0</v>
      </c>
      <c r="T63" s="22">
        <f t="shared" si="27"/>
        <v>0</v>
      </c>
      <c r="U63" s="23" t="str">
        <f>IF(SUMPRODUCT($J$67:T$67,$J63:T63)&lt;0.5, "Pending", IF(T63&lt;0.5, "Complete", "In Progress"))</f>
        <v>Pending</v>
      </c>
      <c r="V63" s="22">
        <v>0</v>
      </c>
      <c r="W63" s="22">
        <f t="shared" si="28"/>
        <v>0</v>
      </c>
      <c r="X63" s="23" t="str">
        <f>IF(SUMPRODUCT($J$67:W$67,$J63:W63)&lt;0.5, "Pending", IF(W63&lt;0.5, "Complete", "In Progress"))</f>
        <v>Pending</v>
      </c>
      <c r="Y63" s="22">
        <v>0</v>
      </c>
      <c r="Z63" s="22">
        <f t="shared" si="29"/>
        <v>0</v>
      </c>
      <c r="AA63" s="23" t="str">
        <f>IF(SUMPRODUCT($J$67:Z$67,$J63:Z63)&lt;0.5, "Pending", IF(Z63&lt;0.5, "Complete", "In Progress"))</f>
        <v>Pending</v>
      </c>
      <c r="AB63" s="22">
        <v>0</v>
      </c>
      <c r="AC63" s="22">
        <f t="shared" si="30"/>
        <v>0</v>
      </c>
      <c r="AD63" s="23" t="str">
        <f>IF(SUMPRODUCT($J$67:AC$67,$J63:AC63)&lt;0.5, "Pending", IF(AC63&lt;0.5, "Complete", "In Progress"))</f>
        <v>Pending</v>
      </c>
      <c r="AE63" s="22">
        <v>0</v>
      </c>
      <c r="AF63" s="22">
        <f t="shared" si="31"/>
        <v>0</v>
      </c>
      <c r="AG63" s="23" t="str">
        <f>IF(SUMPRODUCT($J$67:AF$67,$J63:AF63)&lt;0.5, "Pending", IF(AF63&lt;0.5, "Complete", "In Progress"))</f>
        <v>Pending</v>
      </c>
      <c r="AH63" s="22">
        <v>0</v>
      </c>
      <c r="AI63" s="22">
        <f t="shared" si="32"/>
        <v>0</v>
      </c>
      <c r="AJ63" s="23" t="str">
        <f>IF(SUMPRODUCT($J$67:AI$67,$J63:AI63)&lt;0.5, "Pending", IF(AI63&lt;0.5, "Complete", "In Progress"))</f>
        <v>Pending</v>
      </c>
      <c r="AK63" s="22">
        <v>0</v>
      </c>
      <c r="AL63" s="22">
        <f t="shared" si="33"/>
        <v>0</v>
      </c>
      <c r="AM63" s="23" t="str">
        <f>IF(SUMPRODUCT($J$67:AL$67,$J63:AL63)&lt;0.5, "Pending", IF(AL63&lt;0.5, "Complete", "In Progress"))</f>
        <v>Pending</v>
      </c>
      <c r="AN63" s="22">
        <v>0</v>
      </c>
      <c r="AO63" s="22">
        <f t="shared" si="34"/>
        <v>0</v>
      </c>
      <c r="AP63" s="23" t="str">
        <f>IF(SUMPRODUCT($J$67:AO$67,$J63:AO63)&lt;0.5, "Pending", IF(AO63&lt;0.5, "Complete", "In Progress"))</f>
        <v>Pending</v>
      </c>
      <c r="AQ63" s="22">
        <v>0</v>
      </c>
      <c r="AR63" s="22">
        <f t="shared" si="35"/>
        <v>0</v>
      </c>
      <c r="AS63" s="23" t="str">
        <f>IF(SUMPRODUCT($J$67:AR$67,$J63:AR63)&lt;0.5, "Pending", IF(AR63&lt;0.5, "Complete", "In Progress"))</f>
        <v>Pending</v>
      </c>
      <c r="AT63" s="22">
        <v>0</v>
      </c>
      <c r="AU63" s="22">
        <f t="shared" si="36"/>
        <v>0</v>
      </c>
      <c r="AV63" s="23" t="str">
        <f>IF(SUMPRODUCT($J$67:AU$67,$J63:AU63)&lt;0.5, "Pending", IF(AU63&lt;0.5, "Complete", "In Progress"))</f>
        <v>Pending</v>
      </c>
      <c r="AW63" s="22">
        <v>0</v>
      </c>
      <c r="AX63" s="22">
        <f t="shared" si="37"/>
        <v>0</v>
      </c>
      <c r="AY63" s="23" t="str">
        <f>IF(SUMPRODUCT($J$67:AX$67,$J63:AX63)&lt;0.5, "Pending", IF(AX63&lt;0.5, "Complete", "In Progress"))</f>
        <v>Pending</v>
      </c>
      <c r="AZ63" s="22">
        <v>0</v>
      </c>
      <c r="BA63" s="22" t="e">
        <f>MAX(#REF!-AZ63,0)</f>
        <v>#REF!</v>
      </c>
      <c r="BB63" s="23" t="e">
        <f>IF(SUMPRODUCT($J$67:BA$67,$J63:BA63)&lt;0.5, "Pending", IF(BA63&lt;0.5, "Complete", "In Progress"))</f>
        <v>#REF!</v>
      </c>
      <c r="BC63" s="22">
        <v>0</v>
      </c>
      <c r="BD63" s="22" t="e">
        <f t="shared" si="38"/>
        <v>#REF!</v>
      </c>
      <c r="BE63" s="23" t="e">
        <f>IF(SUMPRODUCT($J$67:BD$67,$J63:BD63)&lt;0.5, "Pending", IF(BD63&lt;0.5, "Complete", "In Progress"))</f>
        <v>#REF!</v>
      </c>
      <c r="BF63" s="22">
        <v>0</v>
      </c>
      <c r="BG63" s="22" t="e">
        <f t="shared" si="39"/>
        <v>#REF!</v>
      </c>
      <c r="BH63" s="23" t="e">
        <f>IF(SUMPRODUCT($J$67:BG$67,$J63:BG63)&lt;0.5, "Pending", IF(BG63&lt;0.5, "Complete", "In Progress"))</f>
        <v>#REF!</v>
      </c>
      <c r="BI63" s="22">
        <v>0</v>
      </c>
      <c r="BJ63" s="22" t="e">
        <f t="shared" si="40"/>
        <v>#REF!</v>
      </c>
      <c r="BK63" s="23" t="e">
        <f>IF(SUMPRODUCT($J$67:BJ$67,$J63:BJ63)&lt;0.5, "Pending", IF(BJ63&lt;0.5, "Complete", "In Progress"))</f>
        <v>#REF!</v>
      </c>
      <c r="BL63" s="22">
        <v>0</v>
      </c>
      <c r="BM63" s="22" t="e">
        <f t="shared" si="41"/>
        <v>#REF!</v>
      </c>
      <c r="BN63" s="23" t="e">
        <f>IF(SUMPRODUCT($J$67:BM$67,$J63:BM63)&lt;0.5, "Pending", IF(BM63&lt;0.5, "Complete", "In Progress"))</f>
        <v>#REF!</v>
      </c>
      <c r="BO63" s="22">
        <v>0</v>
      </c>
      <c r="BP63" s="22" t="e">
        <f t="shared" si="42"/>
        <v>#REF!</v>
      </c>
      <c r="BQ63" s="23" t="e">
        <f>IF(SUMPRODUCT($J$67:BP$67,$J63:BP63)&lt;0.5, "Pending", IF(BP63&lt;0.5, "Complete", "In Progress"))</f>
        <v>#REF!</v>
      </c>
      <c r="BR63" s="22">
        <v>0</v>
      </c>
      <c r="BS63" s="22" t="e">
        <f t="shared" si="43"/>
        <v>#REF!</v>
      </c>
      <c r="BT63" s="23" t="e">
        <f>IF(SUMPRODUCT($J$67:BS$67,$J63:BS63)&lt;0.5, "Pending", IF(BS63&lt;0.5, "Complete", "In Progress"))</f>
        <v>#REF!</v>
      </c>
      <c r="BU63" s="22">
        <v>0</v>
      </c>
      <c r="BV63" s="22" t="e">
        <f t="shared" si="44"/>
        <v>#REF!</v>
      </c>
      <c r="BW63" s="23" t="e">
        <f>IF(SUMPRODUCT($J$67:BV$67,$J63:BV63)&lt;0.5, "Pending", IF(BV63&lt;0.5, "Complete", "In Progress"))</f>
        <v>#REF!</v>
      </c>
      <c r="BX63" s="22">
        <v>0</v>
      </c>
      <c r="BY63" s="22" t="e">
        <f t="shared" si="45"/>
        <v>#REF!</v>
      </c>
      <c r="BZ63" s="23" t="e">
        <f>IF(SUMPRODUCT($J$67:BY$67,$J63:BY63)&lt;0.5, "Pending", IF(BY63&lt;0.5, "Complete", "In Progress"))</f>
        <v>#REF!</v>
      </c>
      <c r="CA63" s="22">
        <v>0</v>
      </c>
      <c r="CB63" s="22" t="e">
        <f t="shared" si="46"/>
        <v>#REF!</v>
      </c>
      <c r="CC63" s="23" t="e">
        <f>IF(SUMPRODUCT($J$67:CB$67,$J63:CB63)&lt;0.5, "Pending", IF(CB63&lt;0.5, "Complete", "In Progress"))</f>
        <v>#REF!</v>
      </c>
      <c r="CD63" s="24"/>
      <c r="CE63" s="25">
        <f>SUMPRODUCT($H$67:AY$67,$H63:AY63)</f>
        <v>0</v>
      </c>
    </row>
    <row r="64" spans="1:83" x14ac:dyDescent="0.2">
      <c r="A64" s="16"/>
      <c r="B64" s="16"/>
      <c r="C64" s="16"/>
      <c r="D64" s="17"/>
      <c r="E64" s="167"/>
      <c r="F64" s="18" t="s">
        <v>48</v>
      </c>
      <c r="G64" s="19" t="e">
        <f t="shared" ca="1" si="0"/>
        <v>#REF!</v>
      </c>
      <c r="H64" s="20">
        <v>1</v>
      </c>
      <c r="I64" s="21">
        <v>0</v>
      </c>
      <c r="J64" s="22">
        <v>0</v>
      </c>
      <c r="K64" s="22">
        <f t="shared" ref="K64" si="162">MAX(I64-J64, 0)</f>
        <v>0</v>
      </c>
      <c r="L64" s="23" t="str">
        <f>IF(SUMPRODUCT($J$67:K$67,$J64:K64)&lt;0.5, "Pending", IF(K64&lt;0.5, "Complete", "In Progress"))</f>
        <v>Pending</v>
      </c>
      <c r="M64" s="22">
        <v>0</v>
      </c>
      <c r="N64" s="22">
        <f t="shared" ref="N64" si="163">MAX(K64-M64,0)</f>
        <v>0</v>
      </c>
      <c r="O64" s="23" t="str">
        <f>IF(SUMPRODUCT($J$67:N$67,$J64:N64)&lt;0.5, "Pending", IF(N64&lt;0.5, "Complete", "In Progress"))</f>
        <v>Pending</v>
      </c>
      <c r="P64" s="22">
        <v>0</v>
      </c>
      <c r="Q64" s="22">
        <f t="shared" ref="Q64" si="164">MAX(N64-P64,0)</f>
        <v>0</v>
      </c>
      <c r="R64" s="23" t="str">
        <f>IF(SUMPRODUCT($J$67:Q$67,$J64:Q64)&lt;0.5, "Pending", IF(Q64&lt;0.5, "Complete", "In Progress"))</f>
        <v>Pending</v>
      </c>
      <c r="S64" s="22">
        <v>0</v>
      </c>
      <c r="T64" s="22">
        <f t="shared" ref="T64" si="165">MAX(Q64-S64,0)</f>
        <v>0</v>
      </c>
      <c r="U64" s="23" t="str">
        <f>IF(SUMPRODUCT($J$67:T$67,$J64:T64)&lt;0.5, "Pending", IF(T64&lt;0.5, "Complete", "In Progress"))</f>
        <v>Pending</v>
      </c>
      <c r="V64" s="22">
        <v>0</v>
      </c>
      <c r="W64" s="22">
        <f t="shared" ref="W64" si="166">MAX(T64-V64,0)</f>
        <v>0</v>
      </c>
      <c r="X64" s="23" t="str">
        <f>IF(SUMPRODUCT($J$67:W$67,$J64:W64)&lt;0.5, "Pending", IF(W64&lt;0.5, "Complete", "In Progress"))</f>
        <v>Pending</v>
      </c>
      <c r="Y64" s="22">
        <v>0</v>
      </c>
      <c r="Z64" s="22">
        <f t="shared" ref="Z64" si="167">MAX(W64-Y64,0)</f>
        <v>0</v>
      </c>
      <c r="AA64" s="23" t="str">
        <f>IF(SUMPRODUCT($J$67:Z$67,$J64:Z64)&lt;0.5, "Pending", IF(Z64&lt;0.5, "Complete", "In Progress"))</f>
        <v>Pending</v>
      </c>
      <c r="AB64" s="22">
        <v>0</v>
      </c>
      <c r="AC64" s="22">
        <f t="shared" ref="AC64" si="168">MAX(Z64-AB64,0)</f>
        <v>0</v>
      </c>
      <c r="AD64" s="23" t="str">
        <f>IF(SUMPRODUCT($J$67:AC$67,$J64:AC64)&lt;0.5, "Pending", IF(AC64&lt;0.5, "Complete", "In Progress"))</f>
        <v>Pending</v>
      </c>
      <c r="AE64" s="22">
        <v>0</v>
      </c>
      <c r="AF64" s="22">
        <f t="shared" ref="AF64" si="169">MAX(AC64-AE64,0)</f>
        <v>0</v>
      </c>
      <c r="AG64" s="23" t="str">
        <f>IF(SUMPRODUCT($J$67:AF$67,$J64:AF64)&lt;0.5, "Pending", IF(AF64&lt;0.5, "Complete", "In Progress"))</f>
        <v>Pending</v>
      </c>
      <c r="AH64" s="22">
        <v>0</v>
      </c>
      <c r="AI64" s="22">
        <f t="shared" ref="AI64" si="170">MAX(AF64-AH64,0)</f>
        <v>0</v>
      </c>
      <c r="AJ64" s="23" t="str">
        <f>IF(SUMPRODUCT($J$67:AI$67,$J64:AI64)&lt;0.5, "Pending", IF(AI64&lt;0.5, "Complete", "In Progress"))</f>
        <v>Pending</v>
      </c>
      <c r="AK64" s="22">
        <v>0</v>
      </c>
      <c r="AL64" s="22">
        <f t="shared" ref="AL64" si="171">MAX(AI64-AK64,0)</f>
        <v>0</v>
      </c>
      <c r="AM64" s="23" t="str">
        <f>IF(SUMPRODUCT($J$67:AL$67,$J64:AL64)&lt;0.5, "Pending", IF(AL64&lt;0.5, "Complete", "In Progress"))</f>
        <v>Pending</v>
      </c>
      <c r="AN64" s="22">
        <v>0</v>
      </c>
      <c r="AO64" s="22">
        <f t="shared" ref="AO64" si="172">MAX(AL64-AN64,0)</f>
        <v>0</v>
      </c>
      <c r="AP64" s="23" t="str">
        <f>IF(SUMPRODUCT($J$67:AO$67,$J64:AO64)&lt;0.5, "Pending", IF(AO64&lt;0.5, "Complete", "In Progress"))</f>
        <v>Pending</v>
      </c>
      <c r="AQ64" s="22">
        <v>0</v>
      </c>
      <c r="AR64" s="22">
        <f t="shared" ref="AR64" si="173">MAX(AO64-AQ64,0)</f>
        <v>0</v>
      </c>
      <c r="AS64" s="23" t="str">
        <f>IF(SUMPRODUCT($J$67:AR$67,$J64:AR64)&lt;0.5, "Pending", IF(AR64&lt;0.5, "Complete", "In Progress"))</f>
        <v>Pending</v>
      </c>
      <c r="AT64" s="22">
        <v>0</v>
      </c>
      <c r="AU64" s="22">
        <f t="shared" ref="AU64" si="174">MAX(AR64-AT64,0)</f>
        <v>0</v>
      </c>
      <c r="AV64" s="23" t="str">
        <f>IF(SUMPRODUCT($J$67:AU$67,$J64:AU64)&lt;0.5, "Pending", IF(AU64&lt;0.5, "Complete", "In Progress"))</f>
        <v>Pending</v>
      </c>
      <c r="AW64" s="22">
        <v>0</v>
      </c>
      <c r="AX64" s="22">
        <f t="shared" ref="AX64" si="175">MAX(AU64-AW64,0)</f>
        <v>0</v>
      </c>
      <c r="AY64" s="23" t="str">
        <f>IF(SUMPRODUCT($J$67:AX$67,$J64:AX64)&lt;0.5, "Pending", IF(AX64&lt;0.5, "Complete", "In Progress"))</f>
        <v>Pending</v>
      </c>
      <c r="AZ64" s="22">
        <v>0</v>
      </c>
      <c r="BA64" s="22" t="e">
        <f>MAX(#REF!-AZ64,0)</f>
        <v>#REF!</v>
      </c>
      <c r="BB64" s="23" t="e">
        <f>IF(SUMPRODUCT($J$67:BA$67,$J64:BA64)&lt;0.5, "Pending", IF(BA64&lt;0.5, "Complete", "In Progress"))</f>
        <v>#REF!</v>
      </c>
      <c r="BC64" s="22">
        <v>0</v>
      </c>
      <c r="BD64" s="22" t="e">
        <f t="shared" ref="BD64" si="176">MAX(BA64-BC64,0)</f>
        <v>#REF!</v>
      </c>
      <c r="BE64" s="23" t="e">
        <f>IF(SUMPRODUCT($J$67:BD$67,$J64:BD64)&lt;0.5, "Pending", IF(BD64&lt;0.5, "Complete", "In Progress"))</f>
        <v>#REF!</v>
      </c>
      <c r="BF64" s="22">
        <v>0</v>
      </c>
      <c r="BG64" s="22" t="e">
        <f t="shared" ref="BG64" si="177">MAX(BD64-BF64,0)</f>
        <v>#REF!</v>
      </c>
      <c r="BH64" s="23" t="e">
        <f>IF(SUMPRODUCT($J$67:BG$67,$J64:BG64)&lt;0.5, "Pending", IF(BG64&lt;0.5, "Complete", "In Progress"))</f>
        <v>#REF!</v>
      </c>
      <c r="BI64" s="22">
        <v>0</v>
      </c>
      <c r="BJ64" s="22" t="e">
        <f t="shared" ref="BJ64" si="178">MAX(BG64-BI64,0)</f>
        <v>#REF!</v>
      </c>
      <c r="BK64" s="23" t="e">
        <f>IF(SUMPRODUCT($J$67:BJ$67,$J64:BJ64)&lt;0.5, "Pending", IF(BJ64&lt;0.5, "Complete", "In Progress"))</f>
        <v>#REF!</v>
      </c>
      <c r="BL64" s="22">
        <v>0</v>
      </c>
      <c r="BM64" s="22" t="e">
        <f t="shared" ref="BM64" si="179">MAX(BJ64-BL64,0)</f>
        <v>#REF!</v>
      </c>
      <c r="BN64" s="23" t="e">
        <f>IF(SUMPRODUCT($J$67:BM$67,$J64:BM64)&lt;0.5, "Pending", IF(BM64&lt;0.5, "Complete", "In Progress"))</f>
        <v>#REF!</v>
      </c>
      <c r="BO64" s="22">
        <v>0</v>
      </c>
      <c r="BP64" s="22" t="e">
        <f t="shared" ref="BP64" si="180">MAX(BM64-BO64,0)</f>
        <v>#REF!</v>
      </c>
      <c r="BQ64" s="23" t="e">
        <f>IF(SUMPRODUCT($J$67:BP$67,$J64:BP64)&lt;0.5, "Pending", IF(BP64&lt;0.5, "Complete", "In Progress"))</f>
        <v>#REF!</v>
      </c>
      <c r="BR64" s="22">
        <v>0</v>
      </c>
      <c r="BS64" s="22" t="e">
        <f t="shared" ref="BS64" si="181">MAX(BP64-BR64,0)</f>
        <v>#REF!</v>
      </c>
      <c r="BT64" s="23" t="e">
        <f>IF(SUMPRODUCT($J$67:BS$67,$J64:BS64)&lt;0.5, "Pending", IF(BS64&lt;0.5, "Complete", "In Progress"))</f>
        <v>#REF!</v>
      </c>
      <c r="BU64" s="22">
        <v>0</v>
      </c>
      <c r="BV64" s="22" t="e">
        <f t="shared" ref="BV64" si="182">MAX(BS64-BU64,0)</f>
        <v>#REF!</v>
      </c>
      <c r="BW64" s="23" t="e">
        <f>IF(SUMPRODUCT($J$67:BV$67,$J64:BV64)&lt;0.5, "Pending", IF(BV64&lt;0.5, "Complete", "In Progress"))</f>
        <v>#REF!</v>
      </c>
      <c r="BX64" s="22">
        <v>0</v>
      </c>
      <c r="BY64" s="22" t="e">
        <f t="shared" ref="BY64" si="183">MAX(BV64-BX64,0)</f>
        <v>#REF!</v>
      </c>
      <c r="BZ64" s="23" t="e">
        <f>IF(SUMPRODUCT($J$67:BY$67,$J64:BY64)&lt;0.5, "Pending", IF(BY64&lt;0.5, "Complete", "In Progress"))</f>
        <v>#REF!</v>
      </c>
      <c r="CA64" s="22">
        <v>0</v>
      </c>
      <c r="CB64" s="22" t="e">
        <f t="shared" ref="CB64" si="184">MAX(BY64-CA64,0)</f>
        <v>#REF!</v>
      </c>
      <c r="CC64" s="23" t="e">
        <f>IF(SUMPRODUCT($J$67:CB$67,$J64:CB64)&lt;0.5, "Pending", IF(CB64&lt;0.5, "Complete", "In Progress"))</f>
        <v>#REF!</v>
      </c>
      <c r="CD64" s="24"/>
      <c r="CE64" s="25">
        <f>SUMPRODUCT($H$67:AY$67,$H64:AY64)</f>
        <v>0</v>
      </c>
    </row>
    <row r="65" spans="1:83" hidden="1" x14ac:dyDescent="0.2">
      <c r="A65" s="26"/>
      <c r="B65" s="26"/>
      <c r="C65" s="26"/>
      <c r="D65" s="26"/>
      <c r="E65" s="26"/>
      <c r="F65" s="26"/>
      <c r="G65" s="26"/>
      <c r="H65" s="26"/>
      <c r="I65" s="26"/>
      <c r="J65" s="24"/>
      <c r="K65" s="24"/>
      <c r="L65" s="24"/>
      <c r="M65" s="27"/>
      <c r="N65" s="27"/>
      <c r="O65" s="24"/>
      <c r="P65" s="27"/>
      <c r="Q65" s="27"/>
      <c r="R65" s="24"/>
      <c r="S65" s="27"/>
      <c r="T65" s="27"/>
      <c r="U65" s="27"/>
      <c r="V65" s="27"/>
      <c r="W65" s="27"/>
      <c r="X65" s="24"/>
      <c r="Y65" s="27"/>
      <c r="Z65" s="27"/>
      <c r="AA65" s="24"/>
      <c r="AB65" s="27"/>
      <c r="AC65" s="27"/>
      <c r="AD65" s="24"/>
      <c r="AE65" s="27"/>
      <c r="AF65" s="27"/>
      <c r="AG65" s="24"/>
      <c r="AH65" s="27"/>
      <c r="AI65" s="27"/>
      <c r="AJ65" s="24"/>
      <c r="AK65" s="27"/>
      <c r="AL65" s="27"/>
      <c r="AM65" s="24"/>
      <c r="AN65" s="27"/>
      <c r="AO65" s="27"/>
      <c r="AP65" s="24"/>
      <c r="AQ65" s="27"/>
      <c r="AR65" s="27"/>
      <c r="AS65" s="24"/>
      <c r="AT65" s="27"/>
      <c r="AU65" s="27"/>
      <c r="AV65" s="24"/>
      <c r="AW65" s="27"/>
      <c r="AX65" s="27"/>
      <c r="AY65" s="24"/>
      <c r="AZ65" s="27"/>
      <c r="BA65" s="27"/>
      <c r="BB65" s="24"/>
      <c r="BC65" s="27"/>
      <c r="BD65" s="27"/>
      <c r="BE65" s="24"/>
      <c r="BF65" s="27"/>
      <c r="BG65" s="27"/>
      <c r="BH65" s="24"/>
      <c r="BI65" s="27"/>
      <c r="BJ65" s="27"/>
      <c r="BK65" s="24"/>
      <c r="BL65" s="27"/>
      <c r="BM65" s="27"/>
      <c r="BN65" s="24"/>
      <c r="BO65" s="27"/>
      <c r="BP65" s="27"/>
      <c r="BQ65" s="24"/>
      <c r="BR65" s="27"/>
      <c r="BS65" s="27"/>
      <c r="BT65" s="24"/>
      <c r="BU65" s="27"/>
      <c r="BV65" s="27"/>
      <c r="BW65" s="24"/>
      <c r="BX65" s="27"/>
      <c r="BY65" s="27"/>
      <c r="BZ65" s="24"/>
      <c r="CA65" s="27"/>
      <c r="CB65" s="27"/>
      <c r="CC65" s="24"/>
      <c r="CD65" s="24"/>
      <c r="CE65" s="28">
        <f>SUMPRODUCT($H$68:BK$68,$H65:BK65)</f>
        <v>0</v>
      </c>
    </row>
    <row r="66" spans="1:83" x14ac:dyDescent="0.2">
      <c r="A66" s="29"/>
      <c r="B66" s="29"/>
      <c r="C66" s="29"/>
      <c r="D66" s="29"/>
      <c r="E66" s="29"/>
      <c r="F66" s="29"/>
      <c r="G66" s="1"/>
      <c r="H66" s="29"/>
      <c r="I66" s="29"/>
      <c r="J66" s="184" t="s">
        <v>9</v>
      </c>
      <c r="K66" s="185"/>
      <c r="L66" s="30">
        <v>1</v>
      </c>
      <c r="M66" s="182" t="s">
        <v>9</v>
      </c>
      <c r="N66" s="186"/>
      <c r="O66" s="30">
        <f>L66+1</f>
        <v>2</v>
      </c>
      <c r="P66" s="182" t="s">
        <v>9</v>
      </c>
      <c r="Q66" s="186"/>
      <c r="R66" s="30">
        <f>O66+1</f>
        <v>3</v>
      </c>
      <c r="S66" s="182" t="s">
        <v>9</v>
      </c>
      <c r="T66" s="186"/>
      <c r="U66" s="30">
        <f>R66+1</f>
        <v>4</v>
      </c>
      <c r="V66" s="182" t="s">
        <v>9</v>
      </c>
      <c r="W66" s="186"/>
      <c r="X66" s="30">
        <f>U66+1</f>
        <v>5</v>
      </c>
      <c r="Y66" s="182" t="s">
        <v>9</v>
      </c>
      <c r="Z66" s="182"/>
      <c r="AA66" s="30">
        <f>X66+1</f>
        <v>6</v>
      </c>
      <c r="AB66" s="182" t="s">
        <v>9</v>
      </c>
      <c r="AC66" s="182"/>
      <c r="AD66" s="30">
        <f>AA66+1</f>
        <v>7</v>
      </c>
      <c r="AE66" s="182" t="s">
        <v>9</v>
      </c>
      <c r="AF66" s="182"/>
      <c r="AG66" s="30">
        <f>AD66+1</f>
        <v>8</v>
      </c>
      <c r="AH66" s="182" t="s">
        <v>9</v>
      </c>
      <c r="AI66" s="182"/>
      <c r="AJ66" s="30">
        <f>AG66+1</f>
        <v>9</v>
      </c>
      <c r="AK66" s="182" t="s">
        <v>9</v>
      </c>
      <c r="AL66" s="182"/>
      <c r="AM66" s="30">
        <f>AJ66+1</f>
        <v>10</v>
      </c>
      <c r="AN66" s="182" t="s">
        <v>9</v>
      </c>
      <c r="AO66" s="182"/>
      <c r="AP66" s="30">
        <f>AM66+1</f>
        <v>11</v>
      </c>
      <c r="AQ66" s="182" t="s">
        <v>9</v>
      </c>
      <c r="AR66" s="182"/>
      <c r="AS66" s="30">
        <f>AP66+1</f>
        <v>12</v>
      </c>
      <c r="AT66" s="182" t="s">
        <v>9</v>
      </c>
      <c r="AU66" s="182"/>
      <c r="AV66" s="30">
        <f>AS66+1</f>
        <v>13</v>
      </c>
      <c r="AW66" s="182" t="s">
        <v>9</v>
      </c>
      <c r="AX66" s="182"/>
      <c r="AY66" s="30">
        <f>AV66+1</f>
        <v>14</v>
      </c>
      <c r="AZ66" s="182" t="s">
        <v>9</v>
      </c>
      <c r="BA66" s="186"/>
      <c r="BB66" s="30" t="e">
        <f>#REF!+1</f>
        <v>#REF!</v>
      </c>
      <c r="BC66" s="182" t="s">
        <v>9</v>
      </c>
      <c r="BD66" s="186"/>
      <c r="BE66" s="30" t="e">
        <f>BB66+1</f>
        <v>#REF!</v>
      </c>
      <c r="BF66" s="182" t="s">
        <v>9</v>
      </c>
      <c r="BG66" s="186"/>
      <c r="BH66" s="30" t="e">
        <f>BE66+1</f>
        <v>#REF!</v>
      </c>
      <c r="BI66" s="182" t="s">
        <v>9</v>
      </c>
      <c r="BJ66" s="186"/>
      <c r="BK66" s="30" t="e">
        <f>BH66+1</f>
        <v>#REF!</v>
      </c>
      <c r="BL66" s="182" t="s">
        <v>9</v>
      </c>
      <c r="BM66" s="186"/>
      <c r="BN66" s="30" t="e">
        <f>BK66+1</f>
        <v>#REF!</v>
      </c>
      <c r="BO66" s="182" t="s">
        <v>9</v>
      </c>
      <c r="BP66" s="186"/>
      <c r="BQ66" s="30" t="e">
        <f>BN66+1</f>
        <v>#REF!</v>
      </c>
      <c r="BR66" s="182" t="s">
        <v>9</v>
      </c>
      <c r="BS66" s="186"/>
      <c r="BT66" s="30" t="e">
        <f>BQ66+1</f>
        <v>#REF!</v>
      </c>
      <c r="BU66" s="182" t="s">
        <v>9</v>
      </c>
      <c r="BV66" s="186"/>
      <c r="BW66" s="30" t="e">
        <f>BT66+1</f>
        <v>#REF!</v>
      </c>
      <c r="BX66" s="182" t="s">
        <v>9</v>
      </c>
      <c r="BY66" s="186"/>
      <c r="BZ66" s="30" t="e">
        <f>BW66+1</f>
        <v>#REF!</v>
      </c>
      <c r="CA66" s="182" t="s">
        <v>9</v>
      </c>
      <c r="CB66" s="186"/>
      <c r="CC66" s="30" t="e">
        <f>BZ66+1</f>
        <v>#REF!</v>
      </c>
      <c r="CD66" s="30"/>
      <c r="CE66" s="31"/>
    </row>
    <row r="67" spans="1:83" hidden="1" x14ac:dyDescent="0.2">
      <c r="A67" s="32"/>
      <c r="B67" s="32"/>
      <c r="C67" s="32"/>
      <c r="D67" s="32"/>
      <c r="E67" s="32" t="s">
        <v>11</v>
      </c>
      <c r="F67" s="32"/>
      <c r="G67" s="32"/>
      <c r="H67" s="32"/>
      <c r="I67" s="32"/>
      <c r="J67" s="145">
        <v>1</v>
      </c>
      <c r="K67" s="145">
        <v>0</v>
      </c>
      <c r="L67" s="32">
        <v>0</v>
      </c>
      <c r="M67" s="32">
        <v>1</v>
      </c>
      <c r="N67" s="32">
        <v>0</v>
      </c>
      <c r="O67" s="32">
        <v>0</v>
      </c>
      <c r="P67" s="32">
        <v>1</v>
      </c>
      <c r="Q67" s="32">
        <v>0</v>
      </c>
      <c r="R67" s="32">
        <v>0</v>
      </c>
      <c r="S67" s="32">
        <v>1</v>
      </c>
      <c r="T67" s="32">
        <v>0</v>
      </c>
      <c r="U67" s="32">
        <v>0</v>
      </c>
      <c r="V67" s="32">
        <v>1</v>
      </c>
      <c r="W67" s="32">
        <v>0</v>
      </c>
      <c r="X67" s="32">
        <v>0</v>
      </c>
      <c r="Y67" s="32">
        <v>1</v>
      </c>
      <c r="Z67" s="32">
        <v>0</v>
      </c>
      <c r="AA67" s="32">
        <v>0</v>
      </c>
      <c r="AB67" s="32">
        <v>1</v>
      </c>
      <c r="AC67" s="32">
        <v>0</v>
      </c>
      <c r="AD67" s="32">
        <v>0</v>
      </c>
      <c r="AE67" s="32">
        <v>1</v>
      </c>
      <c r="AF67" s="32">
        <v>0</v>
      </c>
      <c r="AG67" s="32">
        <v>0</v>
      </c>
      <c r="AH67" s="32">
        <v>1</v>
      </c>
      <c r="AI67" s="32">
        <v>0</v>
      </c>
      <c r="AJ67" s="32">
        <v>0</v>
      </c>
      <c r="AK67" s="32">
        <v>1</v>
      </c>
      <c r="AL67" s="32">
        <v>0</v>
      </c>
      <c r="AM67" s="32">
        <v>0</v>
      </c>
      <c r="AN67" s="32">
        <v>1</v>
      </c>
      <c r="AO67" s="32">
        <v>0</v>
      </c>
      <c r="AP67" s="32">
        <v>0</v>
      </c>
      <c r="AQ67" s="32">
        <v>1</v>
      </c>
      <c r="AR67" s="32">
        <v>0</v>
      </c>
      <c r="AS67" s="32">
        <v>0</v>
      </c>
      <c r="AT67" s="32">
        <v>1</v>
      </c>
      <c r="AU67" s="32">
        <v>0</v>
      </c>
      <c r="AV67" s="32">
        <v>0</v>
      </c>
      <c r="AW67" s="32">
        <v>1</v>
      </c>
      <c r="AX67" s="32">
        <v>0</v>
      </c>
      <c r="AY67" s="32">
        <v>0</v>
      </c>
      <c r="AZ67" s="32">
        <v>1</v>
      </c>
      <c r="BA67" s="32">
        <v>0</v>
      </c>
      <c r="BB67" s="32">
        <v>0</v>
      </c>
      <c r="BC67" s="32">
        <v>1</v>
      </c>
      <c r="BD67" s="32">
        <v>0</v>
      </c>
      <c r="BE67" s="32">
        <v>0</v>
      </c>
      <c r="BF67" s="32">
        <v>1</v>
      </c>
      <c r="BG67" s="32">
        <v>0</v>
      </c>
      <c r="BH67" s="32">
        <v>0</v>
      </c>
      <c r="BI67" s="32">
        <v>1</v>
      </c>
      <c r="BJ67" s="32">
        <v>0</v>
      </c>
      <c r="BK67" s="32">
        <v>0</v>
      </c>
      <c r="BL67" s="32">
        <v>1</v>
      </c>
      <c r="BM67" s="32">
        <v>0</v>
      </c>
      <c r="BN67" s="32">
        <v>0</v>
      </c>
      <c r="BO67" s="32">
        <v>1</v>
      </c>
      <c r="BP67" s="32">
        <v>0</v>
      </c>
      <c r="BQ67" s="32">
        <v>0</v>
      </c>
      <c r="BR67" s="32">
        <v>1</v>
      </c>
      <c r="BS67" s="32">
        <v>0</v>
      </c>
      <c r="BT67" s="32">
        <v>0</v>
      </c>
      <c r="BU67" s="32">
        <v>1</v>
      </c>
      <c r="BV67" s="32">
        <v>0</v>
      </c>
      <c r="BW67" s="32">
        <v>0</v>
      </c>
      <c r="BX67" s="32">
        <v>1</v>
      </c>
      <c r="BY67" s="32">
        <v>0</v>
      </c>
      <c r="BZ67" s="32">
        <v>0</v>
      </c>
      <c r="CA67" s="32">
        <v>1</v>
      </c>
      <c r="CB67" s="32">
        <v>0</v>
      </c>
      <c r="CC67" s="32">
        <v>0</v>
      </c>
      <c r="CD67" s="32"/>
      <c r="CE67" s="33"/>
    </row>
    <row r="68" spans="1:83" hidden="1" x14ac:dyDescent="0.2">
      <c r="A68" s="34"/>
      <c r="B68" s="34"/>
      <c r="C68" s="34"/>
      <c r="D68" s="34"/>
      <c r="E68" s="32" t="s">
        <v>13</v>
      </c>
      <c r="F68" s="32"/>
      <c r="G68" s="32"/>
      <c r="H68" s="32"/>
      <c r="I68" s="32"/>
      <c r="J68" s="24">
        <v>0</v>
      </c>
      <c r="K68" s="145">
        <v>1</v>
      </c>
      <c r="L68" s="32">
        <v>0</v>
      </c>
      <c r="M68" s="35">
        <v>0</v>
      </c>
      <c r="N68" s="32">
        <v>1</v>
      </c>
      <c r="O68" s="32">
        <v>0</v>
      </c>
      <c r="P68" s="35">
        <v>0</v>
      </c>
      <c r="Q68" s="32">
        <v>1</v>
      </c>
      <c r="R68" s="32">
        <v>0</v>
      </c>
      <c r="S68" s="35">
        <v>0</v>
      </c>
      <c r="T68" s="32">
        <v>1</v>
      </c>
      <c r="U68" s="32">
        <v>0</v>
      </c>
      <c r="V68" s="35">
        <v>0</v>
      </c>
      <c r="W68" s="32">
        <v>1</v>
      </c>
      <c r="X68" s="32">
        <v>0</v>
      </c>
      <c r="Y68" s="35">
        <v>0</v>
      </c>
      <c r="Z68" s="32">
        <v>1</v>
      </c>
      <c r="AA68" s="32">
        <v>0</v>
      </c>
      <c r="AB68" s="35">
        <v>0</v>
      </c>
      <c r="AC68" s="32">
        <v>1</v>
      </c>
      <c r="AD68" s="32">
        <v>0</v>
      </c>
      <c r="AE68" s="35">
        <v>0</v>
      </c>
      <c r="AF68" s="32">
        <v>1</v>
      </c>
      <c r="AG68" s="32">
        <v>0</v>
      </c>
      <c r="AH68" s="35">
        <v>0</v>
      </c>
      <c r="AI68" s="32">
        <v>1</v>
      </c>
      <c r="AJ68" s="32">
        <v>0</v>
      </c>
      <c r="AK68" s="35">
        <v>0</v>
      </c>
      <c r="AL68" s="32">
        <v>1</v>
      </c>
      <c r="AM68" s="32">
        <v>0</v>
      </c>
      <c r="AN68" s="35">
        <v>0</v>
      </c>
      <c r="AO68" s="32">
        <v>1</v>
      </c>
      <c r="AP68" s="32">
        <v>0</v>
      </c>
      <c r="AQ68" s="35">
        <v>0</v>
      </c>
      <c r="AR68" s="32">
        <v>1</v>
      </c>
      <c r="AS68" s="32">
        <v>0</v>
      </c>
      <c r="AT68" s="35">
        <v>0</v>
      </c>
      <c r="AU68" s="32">
        <v>1</v>
      </c>
      <c r="AV68" s="32">
        <v>0</v>
      </c>
      <c r="AW68" s="35">
        <v>0</v>
      </c>
      <c r="AX68" s="32">
        <v>1</v>
      </c>
      <c r="AY68" s="32">
        <v>0</v>
      </c>
      <c r="AZ68" s="35">
        <v>0</v>
      </c>
      <c r="BA68" s="32">
        <v>1</v>
      </c>
      <c r="BB68" s="32">
        <v>0</v>
      </c>
      <c r="BC68" s="35">
        <v>0</v>
      </c>
      <c r="BD68" s="32">
        <v>1</v>
      </c>
      <c r="BE68" s="32">
        <v>0</v>
      </c>
      <c r="BF68" s="35">
        <v>0</v>
      </c>
      <c r="BG68" s="32">
        <v>1</v>
      </c>
      <c r="BH68" s="32">
        <v>0</v>
      </c>
      <c r="BI68" s="35">
        <v>0</v>
      </c>
      <c r="BJ68" s="32">
        <v>1</v>
      </c>
      <c r="BK68" s="32">
        <v>0</v>
      </c>
      <c r="BL68" s="35">
        <v>0</v>
      </c>
      <c r="BM68" s="32">
        <v>1</v>
      </c>
      <c r="BN68" s="32">
        <v>0</v>
      </c>
      <c r="BO68" s="35">
        <v>0</v>
      </c>
      <c r="BP68" s="32">
        <v>1</v>
      </c>
      <c r="BQ68" s="32">
        <v>0</v>
      </c>
      <c r="BR68" s="35">
        <v>0</v>
      </c>
      <c r="BS68" s="32">
        <v>1</v>
      </c>
      <c r="BT68" s="32">
        <v>0</v>
      </c>
      <c r="BU68" s="35">
        <v>0</v>
      </c>
      <c r="BV68" s="32">
        <v>1</v>
      </c>
      <c r="BW68" s="32">
        <v>0</v>
      </c>
      <c r="BX68" s="35">
        <v>0</v>
      </c>
      <c r="BY68" s="32">
        <v>1</v>
      </c>
      <c r="BZ68" s="32">
        <v>0</v>
      </c>
      <c r="CA68" s="35">
        <v>0</v>
      </c>
      <c r="CB68" s="32">
        <v>1</v>
      </c>
      <c r="CC68" s="32">
        <v>0</v>
      </c>
      <c r="CD68" s="32"/>
    </row>
    <row r="69" spans="1:83" hidden="1" x14ac:dyDescent="0.2">
      <c r="A69" s="32"/>
      <c r="B69" s="32"/>
      <c r="C69" s="32"/>
      <c r="D69" s="32"/>
      <c r="E69" s="36" t="s">
        <v>14</v>
      </c>
      <c r="F69" s="32"/>
      <c r="G69" s="32"/>
      <c r="H69" s="32"/>
      <c r="I69" s="32"/>
      <c r="J69" s="24">
        <v>0</v>
      </c>
      <c r="K69" s="145">
        <v>0</v>
      </c>
      <c r="L69" s="32">
        <v>1</v>
      </c>
      <c r="M69" s="35">
        <v>0</v>
      </c>
      <c r="N69" s="32">
        <v>0</v>
      </c>
      <c r="O69" s="32">
        <v>1</v>
      </c>
      <c r="P69" s="35">
        <v>0</v>
      </c>
      <c r="Q69" s="32">
        <v>0</v>
      </c>
      <c r="R69" s="32">
        <v>1</v>
      </c>
      <c r="S69" s="35">
        <v>0</v>
      </c>
      <c r="T69" s="32">
        <v>0</v>
      </c>
      <c r="U69" s="32">
        <v>1</v>
      </c>
      <c r="V69" s="35">
        <v>0</v>
      </c>
      <c r="W69" s="32">
        <v>0</v>
      </c>
      <c r="X69" s="32">
        <v>1</v>
      </c>
      <c r="Y69" s="35">
        <v>0</v>
      </c>
      <c r="Z69" s="32">
        <v>0</v>
      </c>
      <c r="AA69" s="32">
        <v>1</v>
      </c>
      <c r="AB69" s="35">
        <v>0</v>
      </c>
      <c r="AC69" s="32">
        <v>0</v>
      </c>
      <c r="AD69" s="32">
        <v>1</v>
      </c>
      <c r="AE69" s="35">
        <v>0</v>
      </c>
      <c r="AF69" s="32">
        <v>0</v>
      </c>
      <c r="AG69" s="32">
        <v>1</v>
      </c>
      <c r="AH69" s="35">
        <v>0</v>
      </c>
      <c r="AI69" s="32">
        <v>0</v>
      </c>
      <c r="AJ69" s="32">
        <v>1</v>
      </c>
      <c r="AK69" s="35">
        <v>0</v>
      </c>
      <c r="AL69" s="32">
        <v>0</v>
      </c>
      <c r="AM69" s="32">
        <v>1</v>
      </c>
      <c r="AN69" s="35">
        <v>0</v>
      </c>
      <c r="AO69" s="32">
        <v>0</v>
      </c>
      <c r="AP69" s="32">
        <v>1</v>
      </c>
      <c r="AQ69" s="35">
        <v>0</v>
      </c>
      <c r="AR69" s="32">
        <v>0</v>
      </c>
      <c r="AS69" s="32">
        <v>1</v>
      </c>
      <c r="AT69" s="35">
        <v>0</v>
      </c>
      <c r="AU69" s="32">
        <v>0</v>
      </c>
      <c r="AV69" s="32">
        <v>1</v>
      </c>
      <c r="AW69" s="35">
        <v>0</v>
      </c>
      <c r="AX69" s="32">
        <v>0</v>
      </c>
      <c r="AY69" s="32">
        <v>1</v>
      </c>
      <c r="AZ69" s="35">
        <v>0</v>
      </c>
      <c r="BA69" s="32">
        <v>0</v>
      </c>
      <c r="BB69" s="32">
        <v>1</v>
      </c>
      <c r="BC69" s="35">
        <v>0</v>
      </c>
      <c r="BD69" s="32">
        <v>0</v>
      </c>
      <c r="BE69" s="32">
        <v>1</v>
      </c>
      <c r="BF69" s="35">
        <v>0</v>
      </c>
      <c r="BG69" s="32">
        <v>0</v>
      </c>
      <c r="BH69" s="32">
        <v>1</v>
      </c>
      <c r="BI69" s="35">
        <v>0</v>
      </c>
      <c r="BJ69" s="32">
        <v>0</v>
      </c>
      <c r="BK69" s="32">
        <v>1</v>
      </c>
      <c r="BL69" s="35">
        <v>0</v>
      </c>
      <c r="BM69" s="32">
        <v>0</v>
      </c>
      <c r="BN69" s="32">
        <v>1</v>
      </c>
      <c r="BO69" s="35">
        <v>0</v>
      </c>
      <c r="BP69" s="32">
        <v>0</v>
      </c>
      <c r="BQ69" s="32">
        <v>1</v>
      </c>
      <c r="BR69" s="35">
        <v>0</v>
      </c>
      <c r="BS69" s="32">
        <v>0</v>
      </c>
      <c r="BT69" s="32">
        <v>1</v>
      </c>
      <c r="BU69" s="35">
        <v>0</v>
      </c>
      <c r="BV69" s="32">
        <v>0</v>
      </c>
      <c r="BW69" s="32">
        <v>1</v>
      </c>
      <c r="BX69" s="35">
        <v>0</v>
      </c>
      <c r="BY69" s="32">
        <v>0</v>
      </c>
      <c r="BZ69" s="32">
        <v>1</v>
      </c>
      <c r="CA69" s="35">
        <v>0</v>
      </c>
      <c r="CB69" s="32">
        <v>0</v>
      </c>
      <c r="CC69" s="32">
        <v>1</v>
      </c>
      <c r="CD69" s="32"/>
    </row>
    <row r="70" spans="1:83" x14ac:dyDescent="0.2">
      <c r="A70" s="37">
        <v>300</v>
      </c>
      <c r="B70" s="37">
        <v>300</v>
      </c>
      <c r="C70" s="37">
        <v>300</v>
      </c>
      <c r="D70" s="37" t="s">
        <v>90</v>
      </c>
      <c r="E70" s="38" t="s">
        <v>86</v>
      </c>
      <c r="F70" s="38"/>
      <c r="G70" s="38"/>
      <c r="H70" s="38"/>
      <c r="I70" s="39">
        <f>SUBTOTAL(109,I$4:I$65)</f>
        <v>126</v>
      </c>
      <c r="J70" s="146">
        <f>SUBTOTAL(109,J$4:J$65)</f>
        <v>14</v>
      </c>
      <c r="K70" s="146">
        <f>SUBTOTAL(109,K$4:K$64)</f>
        <v>112</v>
      </c>
      <c r="L70" s="39"/>
      <c r="M70" s="39">
        <f>SUBTOTAL(109,M$4:M$65)</f>
        <v>13</v>
      </c>
      <c r="N70" s="39">
        <f>SUBTOTAL(109,N$4:N$64)</f>
        <v>99</v>
      </c>
      <c r="O70" s="39"/>
      <c r="P70" s="39">
        <f>SUBTOTAL(109,P$4:P$65)</f>
        <v>10</v>
      </c>
      <c r="Q70" s="39">
        <f>SUBTOTAL(109,Q$4:Q$64)</f>
        <v>89</v>
      </c>
      <c r="R70" s="39"/>
      <c r="S70" s="39">
        <f>SUBTOTAL(109,S$4:S$65)</f>
        <v>14</v>
      </c>
      <c r="T70" s="39">
        <f>SUBTOTAL(109,T$4:T$64)</f>
        <v>75</v>
      </c>
      <c r="U70" s="39"/>
      <c r="V70" s="39">
        <f>SUBTOTAL(109,V$4:V$65)</f>
        <v>11</v>
      </c>
      <c r="W70" s="39">
        <f>SUBTOTAL(109,W$4:W$64)</f>
        <v>64</v>
      </c>
      <c r="X70" s="39"/>
      <c r="Y70" s="39">
        <f>SUBTOTAL(109,Y$4:Y$65)</f>
        <v>12</v>
      </c>
      <c r="Z70" s="39">
        <f>SUBTOTAL(109,Z$4:Z$64)</f>
        <v>52</v>
      </c>
      <c r="AA70" s="39"/>
      <c r="AB70" s="39">
        <f>SUBTOTAL(109,AB$4:AB$65)</f>
        <v>15</v>
      </c>
      <c r="AC70" s="39">
        <f>SUBTOTAL(109,AC$4:AC$64)</f>
        <v>37</v>
      </c>
      <c r="AD70" s="39"/>
      <c r="AE70" s="39">
        <f>SUBTOTAL(109,AE$4:AE$65)</f>
        <v>11</v>
      </c>
      <c r="AF70" s="39">
        <f>SUBTOTAL(109,AF$4:AF$64)</f>
        <v>26</v>
      </c>
      <c r="AG70" s="39"/>
      <c r="AH70" s="39">
        <f>SUBTOTAL(109,AH$4:AH$65)</f>
        <v>13</v>
      </c>
      <c r="AI70" s="39">
        <f>SUBTOTAL(109,AI$4:AI$64)</f>
        <v>13</v>
      </c>
      <c r="AJ70" s="39"/>
      <c r="AK70" s="39">
        <f>SUBTOTAL(109,AK$4:AK$65)</f>
        <v>13</v>
      </c>
      <c r="AL70" s="39">
        <f>SUBTOTAL(109,AL$4:AL$64)</f>
        <v>0</v>
      </c>
      <c r="AM70" s="39"/>
      <c r="AN70" s="39">
        <f>SUBTOTAL(109,AN$4:AN$65)</f>
        <v>0</v>
      </c>
      <c r="AO70" s="39">
        <f>SUBTOTAL(109,AO$4:AO$64)</f>
        <v>0</v>
      </c>
      <c r="AP70" s="39"/>
      <c r="AQ70" s="39">
        <f>SUBTOTAL(109,AQ$4:AQ$65)</f>
        <v>0</v>
      </c>
      <c r="AR70" s="39">
        <f>SUBTOTAL(109,AR$4:AR$64)</f>
        <v>0</v>
      </c>
      <c r="AS70" s="39"/>
      <c r="AT70" s="39">
        <f>SUBTOTAL(109,AT$4:AT$65)</f>
        <v>0</v>
      </c>
      <c r="AU70" s="39">
        <f>SUBTOTAL(109,AU$4:AU$64)</f>
        <v>0</v>
      </c>
      <c r="AV70" s="39"/>
      <c r="AW70" s="39">
        <f>SUBTOTAL(109,AW$4:AW$65)</f>
        <v>0</v>
      </c>
      <c r="AX70" s="39">
        <f>SUBTOTAL(109,AX$4:AX$64)</f>
        <v>0</v>
      </c>
      <c r="AY70" s="39"/>
      <c r="AZ70" s="39">
        <f t="shared" ref="AZ70:CC70" si="185">SUBTOTAL(109,AZ$4:AZ$64)</f>
        <v>0</v>
      </c>
      <c r="BA70" s="39" t="e">
        <f t="shared" si="185"/>
        <v>#REF!</v>
      </c>
      <c r="BB70" s="39" t="e">
        <f t="shared" si="185"/>
        <v>#REF!</v>
      </c>
      <c r="BC70" s="39">
        <f t="shared" si="185"/>
        <v>0</v>
      </c>
      <c r="BD70" s="39" t="e">
        <f t="shared" si="185"/>
        <v>#REF!</v>
      </c>
      <c r="BE70" s="39" t="e">
        <f t="shared" si="185"/>
        <v>#REF!</v>
      </c>
      <c r="BF70" s="39">
        <f t="shared" si="185"/>
        <v>0</v>
      </c>
      <c r="BG70" s="39" t="e">
        <f t="shared" si="185"/>
        <v>#REF!</v>
      </c>
      <c r="BH70" s="39" t="e">
        <f t="shared" si="185"/>
        <v>#REF!</v>
      </c>
      <c r="BI70" s="39">
        <f t="shared" si="185"/>
        <v>0</v>
      </c>
      <c r="BJ70" s="39" t="e">
        <f t="shared" si="185"/>
        <v>#REF!</v>
      </c>
      <c r="BK70" s="39" t="e">
        <f t="shared" si="185"/>
        <v>#REF!</v>
      </c>
      <c r="BL70" s="39">
        <f t="shared" si="185"/>
        <v>0</v>
      </c>
      <c r="BM70" s="39" t="e">
        <f t="shared" si="185"/>
        <v>#REF!</v>
      </c>
      <c r="BN70" s="39" t="e">
        <f t="shared" si="185"/>
        <v>#REF!</v>
      </c>
      <c r="BO70" s="39">
        <f t="shared" si="185"/>
        <v>0</v>
      </c>
      <c r="BP70" s="39" t="e">
        <f t="shared" si="185"/>
        <v>#REF!</v>
      </c>
      <c r="BQ70" s="39" t="e">
        <f t="shared" si="185"/>
        <v>#REF!</v>
      </c>
      <c r="BR70" s="39">
        <f t="shared" si="185"/>
        <v>0</v>
      </c>
      <c r="BS70" s="39" t="e">
        <f t="shared" si="185"/>
        <v>#REF!</v>
      </c>
      <c r="BT70" s="39" t="e">
        <f t="shared" si="185"/>
        <v>#REF!</v>
      </c>
      <c r="BU70" s="39">
        <f t="shared" si="185"/>
        <v>0</v>
      </c>
      <c r="BV70" s="39" t="e">
        <f t="shared" si="185"/>
        <v>#REF!</v>
      </c>
      <c r="BW70" s="39" t="e">
        <f t="shared" si="185"/>
        <v>#REF!</v>
      </c>
      <c r="BX70" s="39">
        <f t="shared" si="185"/>
        <v>0</v>
      </c>
      <c r="BY70" s="39" t="e">
        <f t="shared" si="185"/>
        <v>#REF!</v>
      </c>
      <c r="BZ70" s="39" t="e">
        <f t="shared" si="185"/>
        <v>#REF!</v>
      </c>
      <c r="CA70" s="39">
        <f t="shared" si="185"/>
        <v>0</v>
      </c>
      <c r="CB70" s="39" t="e">
        <f t="shared" si="185"/>
        <v>#REF!</v>
      </c>
      <c r="CC70" s="39" t="e">
        <f t="shared" si="185"/>
        <v>#REF!</v>
      </c>
      <c r="CD70" s="38"/>
      <c r="CE70" s="40"/>
    </row>
    <row r="71" spans="1:83" x14ac:dyDescent="0.2">
      <c r="A71" s="41"/>
      <c r="B71" s="41"/>
      <c r="C71" s="41"/>
      <c r="D71" s="41"/>
      <c r="E71" s="41"/>
      <c r="F71" s="41"/>
      <c r="G71" s="41"/>
      <c r="H71" s="41"/>
      <c r="I71" s="41"/>
      <c r="J71" s="147"/>
      <c r="K71" s="148"/>
      <c r="L71" s="41"/>
      <c r="M71" s="42"/>
      <c r="N71" s="41"/>
      <c r="O71" s="41"/>
      <c r="P71" s="42"/>
      <c r="Q71" s="41"/>
      <c r="R71" s="41"/>
      <c r="S71" s="42"/>
      <c r="T71" s="41"/>
      <c r="U71" s="41"/>
      <c r="V71" s="42"/>
      <c r="W71" s="41"/>
      <c r="X71" s="41"/>
      <c r="Y71" s="42"/>
      <c r="Z71" s="41"/>
      <c r="AA71" s="41"/>
      <c r="AB71" s="42"/>
      <c r="AC71" s="41"/>
      <c r="AD71" s="41"/>
      <c r="AE71" s="42"/>
      <c r="AF71" s="41"/>
      <c r="AG71" s="41"/>
      <c r="AH71" s="42"/>
      <c r="AI71" s="41"/>
      <c r="AJ71" s="41"/>
      <c r="AK71" s="42"/>
      <c r="AL71" s="41"/>
      <c r="AM71" s="41"/>
      <c r="AN71" s="42"/>
      <c r="AO71" s="41"/>
      <c r="AP71" s="41"/>
      <c r="AQ71" s="42"/>
      <c r="AR71" s="41"/>
      <c r="AS71" s="41"/>
      <c r="AT71" s="42"/>
      <c r="AU71" s="41"/>
      <c r="AV71" s="41"/>
      <c r="AW71" s="42"/>
      <c r="AX71" s="41"/>
      <c r="AY71" s="41"/>
      <c r="AZ71" s="42"/>
      <c r="BA71" s="41"/>
      <c r="BB71" s="41"/>
      <c r="BC71" s="42"/>
      <c r="BD71" s="41"/>
      <c r="BE71" s="41"/>
      <c r="BF71" s="42"/>
      <c r="BG71" s="41"/>
      <c r="BH71" s="41"/>
      <c r="BI71" s="42"/>
      <c r="BJ71" s="41"/>
      <c r="BK71" s="41"/>
      <c r="BL71" s="42"/>
      <c r="BM71" s="41"/>
      <c r="BN71" s="41"/>
      <c r="BO71" s="42"/>
      <c r="BP71" s="41"/>
      <c r="BQ71" s="41"/>
      <c r="BR71" s="42"/>
      <c r="BS71" s="41"/>
      <c r="BT71" s="41"/>
      <c r="BU71" s="42"/>
      <c r="BV71" s="41"/>
      <c r="BW71" s="41"/>
      <c r="BX71" s="42"/>
      <c r="BY71" s="41"/>
      <c r="BZ71" s="41"/>
      <c r="CA71" s="42"/>
      <c r="CB71" s="41"/>
      <c r="CC71" s="41"/>
      <c r="CD71" s="41"/>
    </row>
    <row r="72" spans="1:83" x14ac:dyDescent="0.2">
      <c r="A72" s="41"/>
      <c r="B72" s="41"/>
      <c r="C72" s="41"/>
      <c r="D72" s="41"/>
      <c r="E72" s="41"/>
      <c r="F72" s="41"/>
      <c r="G72" s="41"/>
      <c r="H72" s="41"/>
      <c r="I72" s="41"/>
      <c r="J72" s="147"/>
      <c r="K72" s="148"/>
      <c r="L72" s="41"/>
      <c r="M72" s="42"/>
      <c r="N72" s="41"/>
      <c r="O72" s="41"/>
      <c r="P72" s="42"/>
      <c r="Q72" s="41"/>
      <c r="R72" s="41"/>
      <c r="S72" s="42"/>
      <c r="T72" s="41"/>
      <c r="U72" s="41"/>
      <c r="V72" s="42"/>
      <c r="W72" s="41"/>
      <c r="X72" s="41"/>
      <c r="Y72" s="42"/>
      <c r="Z72" s="41"/>
      <c r="AA72" s="41"/>
      <c r="AB72" s="42"/>
      <c r="AC72" s="41"/>
      <c r="AD72" s="41"/>
      <c r="AE72" s="42"/>
      <c r="AF72" s="41"/>
      <c r="AG72" s="41"/>
      <c r="AH72" s="42"/>
      <c r="AI72" s="41"/>
      <c r="AJ72" s="41"/>
      <c r="AK72" s="42"/>
      <c r="AL72" s="41"/>
      <c r="AM72" s="41"/>
      <c r="AN72" s="42"/>
      <c r="AO72" s="41"/>
      <c r="AP72" s="41"/>
      <c r="AQ72" s="42"/>
      <c r="AR72" s="41"/>
      <c r="AS72" s="41"/>
      <c r="AT72" s="42"/>
      <c r="AU72" s="41"/>
      <c r="AV72" s="41"/>
      <c r="AW72" s="42"/>
      <c r="AX72" s="41"/>
      <c r="AY72" s="41"/>
      <c r="AZ72" s="42"/>
      <c r="BA72" s="41"/>
      <c r="BB72" s="41"/>
      <c r="BC72" s="42"/>
      <c r="BD72" s="41"/>
      <c r="BE72" s="41"/>
      <c r="BF72" s="42"/>
      <c r="BG72" s="41"/>
      <c r="BH72" s="41"/>
      <c r="BI72" s="42"/>
      <c r="BJ72" s="41"/>
      <c r="BK72" s="41"/>
      <c r="BL72" s="42"/>
      <c r="BM72" s="41"/>
      <c r="BN72" s="41"/>
      <c r="BO72" s="42"/>
      <c r="BP72" s="41"/>
      <c r="BQ72" s="41"/>
      <c r="BR72" s="42"/>
      <c r="BS72" s="41"/>
      <c r="BT72" s="41"/>
      <c r="BU72" s="42"/>
      <c r="BV72" s="41"/>
      <c r="BW72" s="41"/>
      <c r="BX72" s="42"/>
      <c r="BY72" s="41"/>
      <c r="BZ72" s="41"/>
      <c r="CA72" s="42"/>
      <c r="CB72" s="41"/>
      <c r="CC72" s="41"/>
      <c r="CD72" s="41"/>
    </row>
    <row r="73" spans="1:83" x14ac:dyDescent="0.2">
      <c r="A73" s="41"/>
      <c r="B73" s="41"/>
      <c r="C73" s="41"/>
      <c r="D73" s="41"/>
      <c r="E73" s="41"/>
      <c r="F73" s="41"/>
      <c r="G73" s="41"/>
    </row>
    <row r="74" spans="1:83" x14ac:dyDescent="0.2">
      <c r="A74" s="41"/>
      <c r="B74" s="41"/>
      <c r="C74" s="41"/>
      <c r="D74" s="41"/>
      <c r="E74" s="41"/>
      <c r="F74" s="41"/>
      <c r="G74" s="41"/>
    </row>
  </sheetData>
  <autoFilter ref="C3:CE64"/>
  <mergeCells count="48">
    <mergeCell ref="AE66:AF66"/>
    <mergeCell ref="AB66:AC66"/>
    <mergeCell ref="Y66:Z66"/>
    <mergeCell ref="AE1:AG1"/>
    <mergeCell ref="AB1:AD1"/>
    <mergeCell ref="Y1:AA1"/>
    <mergeCell ref="BX1:BZ1"/>
    <mergeCell ref="BX66:BY66"/>
    <mergeCell ref="CA1:CC1"/>
    <mergeCell ref="CA66:CB66"/>
    <mergeCell ref="BR1:BT1"/>
    <mergeCell ref="BR66:BS66"/>
    <mergeCell ref="BU1:BW1"/>
    <mergeCell ref="BU66:BV66"/>
    <mergeCell ref="BL1:BN1"/>
    <mergeCell ref="BL66:BM66"/>
    <mergeCell ref="BO1:BQ1"/>
    <mergeCell ref="BO66:BP66"/>
    <mergeCell ref="AZ1:BB1"/>
    <mergeCell ref="AZ66:BA66"/>
    <mergeCell ref="BC1:BE1"/>
    <mergeCell ref="BC66:BD66"/>
    <mergeCell ref="BF1:BH1"/>
    <mergeCell ref="BF66:BG66"/>
    <mergeCell ref="BI1:BK1"/>
    <mergeCell ref="BI66:BJ66"/>
    <mergeCell ref="V1:X1"/>
    <mergeCell ref="J66:K66"/>
    <mergeCell ref="M66:N66"/>
    <mergeCell ref="P66:Q66"/>
    <mergeCell ref="S66:T66"/>
    <mergeCell ref="V66:W66"/>
    <mergeCell ref="J1:L1"/>
    <mergeCell ref="M1:O1"/>
    <mergeCell ref="P1:R1"/>
    <mergeCell ref="S1:U1"/>
    <mergeCell ref="AW1:AY1"/>
    <mergeCell ref="AH1:AJ1"/>
    <mergeCell ref="AK1:AM1"/>
    <mergeCell ref="AN1:AP1"/>
    <mergeCell ref="AQ1:AS1"/>
    <mergeCell ref="AT1:AV1"/>
    <mergeCell ref="AT66:AU66"/>
    <mergeCell ref="AW66:AX66"/>
    <mergeCell ref="AH66:AI66"/>
    <mergeCell ref="AK66:AL66"/>
    <mergeCell ref="AN66:AO66"/>
    <mergeCell ref="AQ66:AR66"/>
  </mergeCells>
  <phoneticPr fontId="2" type="noConversion"/>
  <conditionalFormatting sqref="I70">
    <cfRule type="cellIs" dxfId="111" priority="158" stopIfTrue="1" operator="lessThan">
      <formula>C70*0.75</formula>
    </cfRule>
    <cfRule type="cellIs" dxfId="110" priority="158" stopIfTrue="1" operator="between">
      <formula>C70*0.75</formula>
      <formula>#REF!</formula>
    </cfRule>
    <cfRule type="cellIs" dxfId="109" priority="158" stopIfTrue="1" operator="greaterThan">
      <formula>C70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108" priority="150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107" priority="151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106" priority="152" stopIfTrue="1">
      <formula>J$1=TODAY()+DailyScrumDateModifier</formula>
    </cfRule>
  </conditionalFormatting>
  <conditionalFormatting sqref="AZ10:AZ14 BC10:BC14 BF10:BF14 BI10:BI14 BL10:BL14 BO10:BO14 BR10:BR14 BU10:BU14 BX10:BX14 CA10:CA14 AN36:AN64 P10:P64 AW4:AW8 AN4:AN8 CA4:CA8 BX4:BX8 BU4:BU8 BR4:BR8 BO4:BO8 BL4:BL8 BI4:BI8 BF4:BF8 BC4:BC8 AZ4:AZ8 P4:P8 CA21:CA64 BX21:BX64 BU21:BU64 BR21:BR64 BO21:BO64 BL21:BL64 BI21:BI64 BF21:BF64 BC21:BC64 AZ21:AZ64 AW10:AW64 AQ4:AQ64 AT4:AT64 J4:J64 M4:M64 Y4:Y64 AB4:AB64 AE4:AE64 AK4:AK64 S4:S64 V4:V64 AH4:AH64">
    <cfRule type="expression" dxfId="105" priority="161" stopIfTrue="1">
      <formula>J$1=TODAY()+DailyScrumDateModifier</formula>
    </cfRule>
    <cfRule type="expression" dxfId="104" priority="161" stopIfTrue="1">
      <formula>MOD(ROW(),2)</formula>
    </cfRule>
  </conditionalFormatting>
  <conditionalFormatting sqref="AO10:AO14 AI10:AI14 T10:T14 K10:K14 BA10:BA14 BD10:BD14 BG10:BG14 BJ10:BJ14 BM10:BM14 BP10:BP14 BS10:BS14 BV10:BV14 BY10:BY14 CB10:CB14 Q10:Q14 W10:W14 Z10:Z14 AC10:AC14 AF10:AF14 AL10:AL14 AR10:AR14 AU10:AU14 AX10:AX14 N10:N14 N4:N8 AX4:AX8 AU4:AU8 AR4:AR8 AL4:AL8 AF4:AF8 AC4:AC8 Z4:Z8 W4:W8 Q4:Q8 CB4:CB8 BY4:BY8 BV4:BV8 BS4:BS8 BP4:BP8 BM4:BM8 BJ4:BJ8 BG4:BG8 BD4:BD8 BA4:BA8 K4:K8 T4:T8 AI4:AI8 AO4:AO8 N21:N64 AX21:AX64 AU21:AU64 AR21:AR64 AL21:AL64 AF21:AF64 AC21:AC64 Z21:Z64 W21:W64 Q21:Q64 CB21:CB64 BY21:BY64 BV21:BV64 BS21:BS64 BP21:BP64 BM21:BM64 BJ21:BJ64 BG21:BG64 BD21:BD64 BA21:BA64 K21:K64 T21:T64 AI21:AI64 AO21:AO64">
    <cfRule type="expression" dxfId="103" priority="163" stopIfTrue="1">
      <formula>J$1=TODAY()+DailyScrumDateModifier</formula>
    </cfRule>
    <cfRule type="expression" dxfId="102" priority="163" stopIfTrue="1">
      <formula>MOD(ROW(),2)</formula>
    </cfRule>
  </conditionalFormatting>
  <conditionalFormatting sqref="A4:E5 A12:C14 H10:I14 CE10:CE14 C21 E21 E10:E14 CE4:CE8 H4:I8 A6:B11 E6:E8 D6:D25 C5:C8 CE21:CE65 H21:I64 C23:C25 A15:B21 A26:E64 C10:C12">
    <cfRule type="expression" dxfId="101" priority="165" stopIfTrue="1">
      <formula>MOD(ROW(),2)</formula>
    </cfRule>
  </conditionalFormatting>
  <conditionalFormatting sqref="L10:L14 AA10:AA14 AD10:AD14 AG10:AG14 AJ10:AJ14 AM10:AM14 AP10:AP14 AS10:AS14 AV10:AV14 AY10:AY14 O10:O14 R10:R14 U10:U14 X10:X14 BB10:BB14 BE10:BE14 BH10:BH14 BK10:BK14 BN10:BN14 BQ10:BQ14 BT10:BT14 BW10:BW14 BZ10:BZ14 CC10:CC14 CC4:CC8 BZ4:BZ8 BW4:BW8 BT4:BT8 BQ4:BQ8 BN4:BN8 BK4:BK8 BH4:BH8 BE4:BE8 BB4:BB8 X4:X8 U4:U8 R4:R8 O4:O8 AY4:AY8 AV4:AV8 AS4:AS8 AP4:AP8 AM4:AM8 AJ4:AJ8 AG4:AG8 AD4:AD8 AA4:AA8 L4:L8 CC21:CC64 BZ21:BZ64 BW21:BW64 BT21:BT64 BQ21:BQ64 BN21:BN64 BK21:BK64 BH21:BH64 BE21:BE64 BB21:BB64 X21:X64 U21:U64 R21:R64 O21:O64 AY21:AY64 AV21:AV64 AS21:AS64 AP21:AP64 AM21:AM64 AJ21:AJ64 AG21:AG64 AD21:AD64 AA21:AA64 L21:L64">
    <cfRule type="cellIs" dxfId="100" priority="166" stopIfTrue="1" operator="equal">
      <formula>"Pending"</formula>
    </cfRule>
    <cfRule type="cellIs" dxfId="99" priority="166" stopIfTrue="1" operator="equal">
      <formula>"In Progress"</formula>
    </cfRule>
    <cfRule type="cellIs" dxfId="98" priority="166" stopIfTrue="1" operator="equal">
      <formula>"Complete"</formula>
    </cfRule>
  </conditionalFormatting>
  <conditionalFormatting sqref="J1:CC1">
    <cfRule type="expression" dxfId="97" priority="153" stopIfTrue="1">
      <formula>J$1=TODAY()+DailyScrumDateModifier</formula>
    </cfRule>
    <cfRule type="expression" dxfId="96" priority="153" stopIfTrue="1">
      <formula>J$1=TODAY()</formula>
    </cfRule>
  </conditionalFormatting>
  <conditionalFormatting sqref="J71:K72 M71:N72">
    <cfRule type="expression" dxfId="95" priority="155" stopIfTrue="1">
      <formula>"I1=TODAY()"</formula>
    </cfRule>
  </conditionalFormatting>
  <conditionalFormatting sqref="G66">
    <cfRule type="cellIs" dxfId="94" priority="156" stopIfTrue="1" operator="equal">
      <formula>"Complete"</formula>
    </cfRule>
    <cfRule type="cellIs" dxfId="93" priority="156" stopIfTrue="1" operator="equal">
      <formula>"In Progress"</formula>
    </cfRule>
  </conditionalFormatting>
  <conditionalFormatting sqref="G18 G16 G4:G14 G20:G64">
    <cfRule type="cellIs" dxfId="92" priority="169" stopIfTrue="1" operator="equal">
      <formula>"Complete"</formula>
    </cfRule>
    <cfRule type="cellIs" dxfId="91" priority="169" stopIfTrue="1" operator="equal">
      <formula>"In Progress"</formula>
    </cfRule>
    <cfRule type="cellIs" dxfId="90" priority="169" stopIfTrue="1" operator="equal">
      <formula>"Pending"</formula>
    </cfRule>
  </conditionalFormatting>
  <conditionalFormatting sqref="A22:B23">
    <cfRule type="expression" dxfId="89" priority="147" stopIfTrue="1">
      <formula>MOD(ROW(),2)</formula>
    </cfRule>
  </conditionalFormatting>
  <conditionalFormatting sqref="A24:B25">
    <cfRule type="expression" dxfId="88" priority="146" stopIfTrue="1">
      <formula>MOD(ROW(),2)</formula>
    </cfRule>
  </conditionalFormatting>
  <conditionalFormatting sqref="P9 AZ9 BC9 BF9 BI9 BL9 BO9 BR9 BU9 BX9 CA9 AW9 AN9:AN35">
    <cfRule type="expression" dxfId="87" priority="135" stopIfTrue="1">
      <formula>P$1=TODAY()+DailyScrumDateModifier</formula>
    </cfRule>
  </conditionalFormatting>
  <conditionalFormatting sqref="AO9 AI9 T9 K9 BA9 BD9 BG9 BJ9 BM9 BP9 BS9 BV9 BY9 CB9 Q9 W9 Z9 AC9 AF9 AL9 AR9 AU9 AX9 N9">
    <cfRule type="expression" dxfId="86" priority="136" stopIfTrue="1">
      <formula>J$1=TODAY()+DailyScrumDateModifier</formula>
    </cfRule>
  </conditionalFormatting>
  <conditionalFormatting sqref="H9:I9 CE9 E9">
    <cfRule type="expression" dxfId="85" priority="137" stopIfTrue="1">
      <formula>MOD(ROW(),2)</formula>
    </cfRule>
  </conditionalFormatting>
  <conditionalFormatting sqref="L9 AA9 AD9 AG9 AJ9 AM9 AP9 AS9 AV9 AY9 O9 R9 U9 X9 BB9 BE9 BH9 BK9 BN9 BQ9 BT9 BW9 BZ9 CC9">
    <cfRule type="cellIs" dxfId="84" priority="138" stopIfTrue="1" operator="equal">
      <formula>"Pending"</formula>
    </cfRule>
  </conditionalFormatting>
  <conditionalFormatting sqref="CA20 BX20 BU20 BR20 BO20 BL20 BI20 BF20 BC20 AZ20">
    <cfRule type="expression" dxfId="83" priority="124" stopIfTrue="1">
      <formula>AZ$1=TODAY()+DailyScrumDateModifier</formula>
    </cfRule>
  </conditionalFormatting>
  <conditionalFormatting sqref="N20 AX20 AU20 AR20 AL20 AF20 AC20 Z20 W20 Q20 CB20 BY20 BV20 BS20 BP20 BM20 BJ20 BG20 BD20 BA20 K20 T20 AI20 AO20">
    <cfRule type="expression" dxfId="82" priority="125" stopIfTrue="1">
      <formula>J$1=TODAY()+DailyScrumDateModifier</formula>
    </cfRule>
  </conditionalFormatting>
  <conditionalFormatting sqref="CE20 H20:I20 C20 E20">
    <cfRule type="expression" dxfId="81" priority="126" stopIfTrue="1">
      <formula>MOD(ROW(),2)</formula>
    </cfRule>
  </conditionalFormatting>
  <conditionalFormatting sqref="CC20 BZ20 BW20 BT20 BQ20 BN20 BK20 BH20 BE20 BB20 X20 U20 R20 O20 AY20 AV20 AS20 AP20 AM20 AJ20 AG20 AD20 AA20 L20">
    <cfRule type="cellIs" dxfId="80" priority="127" stopIfTrue="1" operator="equal">
      <formula>"Pending"</formula>
    </cfRule>
  </conditionalFormatting>
  <conditionalFormatting sqref="CA19 BX19 BU19 BR19 BO19 BL19 BI19 BF19 BC19 AZ19">
    <cfRule type="expression" dxfId="79" priority="113" stopIfTrue="1">
      <formula>AZ$1=TODAY()+DailyScrumDateModifier</formula>
    </cfRule>
    <cfRule type="expression" dxfId="78" priority="122" stopIfTrue="1">
      <formula>MOD(ROW(),2)</formula>
    </cfRule>
  </conditionalFormatting>
  <conditionalFormatting sqref="N19 AX19 AU19 AR19 AL19 AF19 AC19 Z19 W19 Q19 CB19 BY19 BV19 BS19 BP19 BM19 BJ19 BG19 BD19 BA19 K19 T19 AI19 AO19">
    <cfRule type="expression" dxfId="77" priority="114" stopIfTrue="1">
      <formula>J$1=TODAY()+DailyScrumDateModifier</formula>
    </cfRule>
    <cfRule type="expression" dxfId="76" priority="120" stopIfTrue="1">
      <formula>MOD(ROW(),2)</formula>
    </cfRule>
  </conditionalFormatting>
  <conditionalFormatting sqref="CE19 H19:I19 C19 E19">
    <cfRule type="expression" dxfId="75" priority="115" stopIfTrue="1">
      <formula>MOD(ROW(),2)</formula>
    </cfRule>
  </conditionalFormatting>
  <conditionalFormatting sqref="CC19 BZ19 BW19 BT19 BQ19 BN19 BK19 BH19 BE19 BB19 X19 U19 R19 O19 AY19 AV19 AS19 AP19 AM19 AJ19 AG19 AD19 AA19 L19">
    <cfRule type="cellIs" dxfId="74" priority="116" stopIfTrue="1" operator="equal">
      <formula>"In Progress"</formula>
    </cfRule>
    <cfRule type="cellIs" dxfId="73" priority="116" stopIfTrue="1" operator="equal">
      <formula>"Pending"</formula>
    </cfRule>
    <cfRule type="cellIs" dxfId="72" priority="117" stopIfTrue="1" operator="equal">
      <formula>"Complete"</formula>
    </cfRule>
  </conditionalFormatting>
  <conditionalFormatting sqref="G19">
    <cfRule type="cellIs" dxfId="71" priority="170" stopIfTrue="1" operator="equal">
      <formula>"In Progress"</formula>
    </cfRule>
    <cfRule type="cellIs" dxfId="70" priority="170" stopIfTrue="1" operator="equal">
      <formula>"Pending"</formula>
    </cfRule>
    <cfRule type="cellIs" dxfId="69" priority="170" stopIfTrue="1" operator="equal">
      <formula>"Complete"</formula>
    </cfRule>
  </conditionalFormatting>
  <conditionalFormatting sqref="CA18 BX18 BU18 BR18 BO18 BL18 BI18 BF18 BC18 AZ18">
    <cfRule type="expression" dxfId="68" priority="102" stopIfTrue="1">
      <formula>AZ$1=TODAY()+DailyScrumDateModifier</formula>
    </cfRule>
    <cfRule type="expression" dxfId="67" priority="108" stopIfTrue="1">
      <formula>MOD(ROW(),2)</formula>
    </cfRule>
  </conditionalFormatting>
  <conditionalFormatting sqref="N18 AX18 AU18 AR18 AL18 AF18 AC18 Z18 W18 Q18 CB18 BY18 BV18 BS18 BP18 BM18 BJ18 BG18 BD18 BA18 K18 T18 AI18 AO18">
    <cfRule type="expression" dxfId="66" priority="103" stopIfTrue="1">
      <formula>J$1=TODAY()+DailyScrumDateModifier</formula>
    </cfRule>
    <cfRule type="expression" dxfId="65" priority="107" stopIfTrue="1">
      <formula>MOD(ROW(),2)</formula>
    </cfRule>
  </conditionalFormatting>
  <conditionalFormatting sqref="CE18 H18:I18 E18">
    <cfRule type="expression" dxfId="64" priority="104" stopIfTrue="1">
      <formula>MOD(ROW(),2)</formula>
    </cfRule>
  </conditionalFormatting>
  <conditionalFormatting sqref="CC18 BZ18 BW18 BT18 BQ18 BN18 BK18 BH18 BE18 BB18 X18 U18 R18 O18 AY18 AV18 AS18 AP18 AM18 AJ18 AG18 AD18 AA18 L18">
    <cfRule type="cellIs" dxfId="63" priority="105" stopIfTrue="1" operator="equal">
      <formula>"In Progress"</formula>
    </cfRule>
    <cfRule type="cellIs" dxfId="62" priority="106" stopIfTrue="1" operator="equal">
      <formula>"Complete"</formula>
    </cfRule>
  </conditionalFormatting>
  <conditionalFormatting sqref="CA17 BX17 BU17 BR17 BO17 BL17 BI17 BF17 BC17 AZ17">
    <cfRule type="expression" dxfId="61" priority="91" stopIfTrue="1">
      <formula>AZ$1=TODAY()+DailyScrumDateModifier</formula>
    </cfRule>
    <cfRule type="expression" dxfId="60" priority="97" stopIfTrue="1">
      <formula>MOD(ROW(),2)</formula>
    </cfRule>
  </conditionalFormatting>
  <conditionalFormatting sqref="N17 AX17 AU17 AR17 AL17 AF17 AC17 Z17 W17 Q17 CB17 BY17 BV17 BS17 BP17 BM17 BJ17 BG17 BD17 BA17 K17 T17 AI17 AO17">
    <cfRule type="expression" dxfId="59" priority="92" stopIfTrue="1">
      <formula>J$1=TODAY()+DailyScrumDateModifier</formula>
    </cfRule>
    <cfRule type="expression" dxfId="58" priority="96" stopIfTrue="1">
      <formula>MOD(ROW(),2)</formula>
    </cfRule>
  </conditionalFormatting>
  <conditionalFormatting sqref="CE17 H17:I17 E17">
    <cfRule type="expression" dxfId="57" priority="93" stopIfTrue="1">
      <formula>MOD(ROW(),2)</formula>
    </cfRule>
  </conditionalFormatting>
  <conditionalFormatting sqref="CC17 BZ17 BW17 BT17 BQ17 BN17 BK17 BH17 BE17 BB17 X17 U17 R17 O17 AY17 AV17 AS17 AP17 AM17 AJ17 AG17 AD17 AA17 L17">
    <cfRule type="cellIs" dxfId="56" priority="94" stopIfTrue="1" operator="equal">
      <formula>"Pending"</formula>
    </cfRule>
    <cfRule type="cellIs" dxfId="55" priority="94" stopIfTrue="1" operator="equal">
      <formula>"In Progress"</formula>
    </cfRule>
    <cfRule type="cellIs" dxfId="54" priority="95" stopIfTrue="1" operator="equal">
      <formula>"Complete"</formula>
    </cfRule>
  </conditionalFormatting>
  <conditionalFormatting sqref="G17">
    <cfRule type="cellIs" dxfId="53" priority="171" stopIfTrue="1" operator="equal">
      <formula>"In Progress"</formula>
    </cfRule>
    <cfRule type="cellIs" dxfId="52" priority="171" stopIfTrue="1" operator="equal">
      <formula>"Pending"</formula>
    </cfRule>
    <cfRule type="cellIs" dxfId="51" priority="171" stopIfTrue="1" operator="equal">
      <formula>"Complete"</formula>
    </cfRule>
  </conditionalFormatting>
  <conditionalFormatting sqref="CA16 BX16 BU16 BR16 BO16 BL16 BI16 BF16 BC16 AZ16">
    <cfRule type="expression" dxfId="50" priority="36" stopIfTrue="1">
      <formula>AZ$1=TODAY()+DailyScrumDateModifier</formula>
    </cfRule>
    <cfRule type="expression" dxfId="49" priority="42" stopIfTrue="1">
      <formula>MOD(ROW(),2)</formula>
    </cfRule>
  </conditionalFormatting>
  <conditionalFormatting sqref="N16 AX16 AU16 AR16 AL16 AF16 AC16 Z16 W16 Q16 CB16 BY16 BV16 BS16 BP16 BM16 BJ16 BG16 BD16 BA16 K16 T16 AI16 AO16">
    <cfRule type="expression" dxfId="48" priority="37" stopIfTrue="1">
      <formula>J$1=TODAY()+DailyScrumDateModifier</formula>
    </cfRule>
    <cfRule type="expression" dxfId="47" priority="41" stopIfTrue="1">
      <formula>MOD(ROW(),2)</formula>
    </cfRule>
  </conditionalFormatting>
  <conditionalFormatting sqref="CE16 H16:I16 C16 E16">
    <cfRule type="expression" dxfId="46" priority="38" stopIfTrue="1">
      <formula>MOD(ROW(),2)</formula>
    </cfRule>
  </conditionalFormatting>
  <conditionalFormatting sqref="CC16 BZ16 BW16 BT16 BQ16 BN16 BK16 BH16 BE16 BB16 X16 U16 R16 O16 AY16 AV16 AS16 AP16 AM16 AJ16 AG16 AD16 AA16 L16">
    <cfRule type="cellIs" dxfId="45" priority="39" stopIfTrue="1" operator="equal">
      <formula>"Pending"</formula>
    </cfRule>
    <cfRule type="cellIs" dxfId="44" priority="40" stopIfTrue="1" operator="equal">
      <formula>"Complete"</formula>
    </cfRule>
  </conditionalFormatting>
  <conditionalFormatting sqref="CA15 BX15 BU15 BR15 BO15 BL15 BI15 BF15 BC15 AZ15">
    <cfRule type="expression" dxfId="43" priority="25" stopIfTrue="1">
      <formula>AZ$1=TODAY()+DailyScrumDateModifier</formula>
    </cfRule>
    <cfRule type="expression" dxfId="42" priority="31" stopIfTrue="1">
      <formula>MOD(ROW(),2)</formula>
    </cfRule>
  </conditionalFormatting>
  <conditionalFormatting sqref="N15 AX15 AU15 AR15 AL15 AF15 AC15 Z15 W15 Q15 CB15 BY15 BV15 BS15 BP15 BM15 BJ15 BG15 BD15 BA15 K15 T15 AI15 AO15">
    <cfRule type="expression" dxfId="41" priority="26" stopIfTrue="1">
      <formula>J$1=TODAY()+DailyScrumDateModifier</formula>
    </cfRule>
    <cfRule type="expression" dxfId="40" priority="30" stopIfTrue="1">
      <formula>MOD(ROW(),2)</formula>
    </cfRule>
  </conditionalFormatting>
  <conditionalFormatting sqref="CE15 H15:I15 C15 E15">
    <cfRule type="expression" dxfId="39" priority="27" stopIfTrue="1">
      <formula>MOD(ROW(),2)</formula>
    </cfRule>
  </conditionalFormatting>
  <conditionalFormatting sqref="CC15 BZ15 BW15 BT15 BQ15 BN15 BK15 BH15 BE15 BB15 X15 U15 R15 O15 AY15 AV15 AS15 AP15 AM15 AJ15 AG15 AD15 AA15 L15">
    <cfRule type="cellIs" dxfId="38" priority="28" stopIfTrue="1" operator="equal">
      <formula>"In Progress"</formula>
    </cfRule>
    <cfRule type="cellIs" dxfId="37" priority="28" stopIfTrue="1" operator="equal">
      <formula>"Pending"</formula>
    </cfRule>
    <cfRule type="cellIs" dxfId="36" priority="29" stopIfTrue="1" operator="equal">
      <formula>"Complete"</formula>
    </cfRule>
  </conditionalFormatting>
  <conditionalFormatting sqref="G15">
    <cfRule type="cellIs" dxfId="35" priority="32" stopIfTrue="1" operator="equal">
      <formula>"In Progress"</formula>
    </cfRule>
    <cfRule type="cellIs" dxfId="34" priority="172" stopIfTrue="1" operator="equal">
      <formula>"Pending"</formula>
    </cfRule>
    <cfRule type="cellIs" dxfId="33" priority="172" stopIfTrue="1" operator="equal">
      <formula>"Complete"</formula>
    </cfRule>
  </conditionalFormatting>
  <conditionalFormatting sqref="C9">
    <cfRule type="expression" dxfId="32" priority="2" stopIfTrue="1">
      <formula>MOD(ROW(),2)</formula>
    </cfRule>
  </conditionalFormatting>
  <conditionalFormatting sqref="C18">
    <cfRule type="expression" dxfId="31" priority="1" stopIfTrue="1">
      <formula>MOD(ROW(),2)</formula>
    </cfRule>
  </conditionalFormatting>
  <dataValidations count="3">
    <dataValidation type="list" allowBlank="1" showInputMessage="1" showErrorMessage="1" sqref="F4:F64">
      <formula1>Members</formula1>
    </dataValidation>
    <dataValidation type="list" allowBlank="1" showInputMessage="1" showErrorMessage="1" sqref="A4:A64">
      <formula1>Worktype</formula1>
    </dataValidation>
    <dataValidation type="list" allowBlank="1" showInputMessage="1" showErrorMessage="1" sqref="B4:B64">
      <formula1>Deliverable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74" r:id="rId4" name="BtnInsertNewLineAtEnd">
          <controlPr defaultSize="0" autoLine="0" r:id="rId5">
            <anchor moveWithCells="1">
              <from>
                <xdr:col>4</xdr:col>
                <xdr:colOff>1171575</xdr:colOff>
                <xdr:row>1</xdr:row>
                <xdr:rowOff>9525</xdr:rowOff>
              </from>
              <to>
                <xdr:col>4</xdr:col>
                <xdr:colOff>2409825</xdr:colOff>
                <xdr:row>2</xdr:row>
                <xdr:rowOff>114300</xdr:rowOff>
              </to>
            </anchor>
          </controlPr>
        </control>
      </mc:Choice>
      <mc:Fallback>
        <control shapeId="6274" r:id="rId4" name="BtnInsertNewLineAtEnd"/>
      </mc:Fallback>
    </mc:AlternateContent>
    <mc:AlternateContent xmlns:mc="http://schemas.openxmlformats.org/markup-compatibility/2006">
      <mc:Choice Requires="x14">
        <control shapeId="6275" r:id="rId6" name="BtnInsertNewLine">
          <controlPr defaultSize="0" autoLine="0" r:id="rId7">
            <anchor moveWithCells="1">
              <from>
                <xdr:col>4</xdr:col>
                <xdr:colOff>38100</xdr:colOff>
                <xdr:row>1</xdr:row>
                <xdr:rowOff>9525</xdr:rowOff>
              </from>
              <to>
                <xdr:col>4</xdr:col>
                <xdr:colOff>1095375</xdr:colOff>
                <xdr:row>2</xdr:row>
                <xdr:rowOff>114300</xdr:rowOff>
              </to>
            </anchor>
          </controlPr>
        </control>
      </mc:Choice>
      <mc:Fallback>
        <control shapeId="6275" r:id="rId6" name="BtnInsertNewLin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51"/>
  <sheetViews>
    <sheetView topLeftCell="A19" zoomScaleNormal="100" workbookViewId="0">
      <selection activeCell="I24" sqref="I24"/>
    </sheetView>
  </sheetViews>
  <sheetFormatPr defaultRowHeight="12.75" x14ac:dyDescent="0.2"/>
  <cols>
    <col min="1" max="1" width="9.140625" style="6"/>
    <col min="2" max="2" width="9.42578125" style="6" customWidth="1"/>
    <col min="3" max="4" width="9.140625" style="6"/>
    <col min="5" max="24" width="9.28515625" style="6" bestFit="1" customWidth="1"/>
    <col min="25" max="25" width="9.7109375" style="6" customWidth="1"/>
    <col min="26" max="30" width="9.28515625" style="6" bestFit="1" customWidth="1"/>
    <col min="31" max="16384" width="9.140625" style="6"/>
  </cols>
  <sheetData>
    <row r="1" spans="1:1" x14ac:dyDescent="0.2">
      <c r="A1" s="139"/>
    </row>
    <row r="19" spans="1:14" x14ac:dyDescent="0.2">
      <c r="A19" s="150" t="str">
        <f>IF(SkipWeekends, "Working Day", "Calendar Day")</f>
        <v>Working Day</v>
      </c>
      <c r="B19" s="151"/>
      <c r="C19" s="152"/>
      <c r="D19" s="153"/>
      <c r="E19" s="152">
        <v>1</v>
      </c>
      <c r="F19" s="152">
        <v>2</v>
      </c>
      <c r="G19" s="152">
        <v>3</v>
      </c>
      <c r="H19" s="152">
        <v>4</v>
      </c>
      <c r="I19" s="152">
        <v>5</v>
      </c>
      <c r="J19" s="152">
        <v>6</v>
      </c>
      <c r="K19" s="152">
        <v>7</v>
      </c>
      <c r="L19" s="152">
        <v>8</v>
      </c>
      <c r="M19" s="152">
        <v>9</v>
      </c>
      <c r="N19" s="152">
        <v>10</v>
      </c>
    </row>
    <row r="20" spans="1:14" x14ac:dyDescent="0.2">
      <c r="A20" s="150" t="s">
        <v>21</v>
      </c>
      <c r="B20" s="151"/>
      <c r="C20" s="152"/>
      <c r="D20" s="153"/>
      <c r="E20" s="154">
        <f>INDEX(SprintDates,1,(E19-1)*BurndownColumns+1)</f>
        <v>42683</v>
      </c>
      <c r="F20" s="154">
        <f t="shared" ref="F20:N20" si="0">INDEX(SprintDates,1,(F19-1)*BurndownColumns+1)</f>
        <v>42684</v>
      </c>
      <c r="G20" s="154">
        <f t="shared" si="0"/>
        <v>42685</v>
      </c>
      <c r="H20" s="154">
        <f t="shared" si="0"/>
        <v>42688</v>
      </c>
      <c r="I20" s="154">
        <f t="shared" si="0"/>
        <v>42689</v>
      </c>
      <c r="J20" s="154">
        <f t="shared" si="0"/>
        <v>42690</v>
      </c>
      <c r="K20" s="154">
        <f t="shared" si="0"/>
        <v>42691</v>
      </c>
      <c r="L20" s="154">
        <f t="shared" si="0"/>
        <v>42692</v>
      </c>
      <c r="M20" s="154">
        <f t="shared" si="0"/>
        <v>42695</v>
      </c>
      <c r="N20" s="154">
        <f t="shared" si="0"/>
        <v>42696</v>
      </c>
    </row>
    <row r="21" spans="1:14" x14ac:dyDescent="0.2">
      <c r="A21" s="150"/>
      <c r="B21" s="151"/>
      <c r="C21" s="152"/>
      <c r="D21" s="153"/>
      <c r="E21" s="154"/>
      <c r="F21" s="154"/>
      <c r="G21" s="154"/>
      <c r="H21" s="154"/>
      <c r="I21" s="154"/>
      <c r="J21" s="154"/>
      <c r="K21" s="154"/>
      <c r="L21" s="154"/>
      <c r="M21" s="154"/>
      <c r="N21" s="154"/>
    </row>
    <row r="22" spans="1:14" x14ac:dyDescent="0.2">
      <c r="A22" s="150" t="s">
        <v>8</v>
      </c>
      <c r="B22" s="152"/>
      <c r="C22" s="155"/>
      <c r="D22" s="156"/>
      <c r="E22" s="152">
        <f t="shared" ref="E22:N22" ca="1" si="1">IF(E20&gt;TODAY(), #N/A, SUM(INDEX(Burndown,,(E19-1)*BurndownColumns+HoursLeftColumn)))</f>
        <v>112</v>
      </c>
      <c r="F22" s="152">
        <f t="shared" ca="1" si="1"/>
        <v>99</v>
      </c>
      <c r="G22" s="152">
        <f t="shared" ca="1" si="1"/>
        <v>89</v>
      </c>
      <c r="H22" s="152">
        <f t="shared" ca="1" si="1"/>
        <v>75</v>
      </c>
      <c r="I22" s="152">
        <f t="shared" ca="1" si="1"/>
        <v>64</v>
      </c>
      <c r="J22" s="152">
        <f t="shared" ca="1" si="1"/>
        <v>52</v>
      </c>
      <c r="K22" s="152">
        <f t="shared" ca="1" si="1"/>
        <v>37</v>
      </c>
      <c r="L22" s="152">
        <f t="shared" ca="1" si="1"/>
        <v>26</v>
      </c>
      <c r="M22" s="152">
        <f t="shared" ca="1" si="1"/>
        <v>13</v>
      </c>
      <c r="N22" s="152">
        <f t="shared" ca="1" si="1"/>
        <v>0</v>
      </c>
    </row>
    <row r="23" spans="1:14" x14ac:dyDescent="0.2">
      <c r="A23" s="157" t="s">
        <v>20</v>
      </c>
      <c r="B23" s="155"/>
      <c r="C23" s="155"/>
      <c r="D23" s="156"/>
      <c r="E23" s="153">
        <f t="shared" ref="E23:N23" ca="1" si="2">IF(E20&gt;TODAY(), #N/A, SUM(INDEX(Burndown,,(E19-1)*BurndownColumns+HoursSpentColumn)))</f>
        <v>14</v>
      </c>
      <c r="F23" s="153">
        <f t="shared" ca="1" si="2"/>
        <v>13</v>
      </c>
      <c r="G23" s="153">
        <f t="shared" ca="1" si="2"/>
        <v>10</v>
      </c>
      <c r="H23" s="153">
        <f t="shared" ca="1" si="2"/>
        <v>14</v>
      </c>
      <c r="I23" s="153">
        <f t="shared" ca="1" si="2"/>
        <v>11</v>
      </c>
      <c r="J23" s="153">
        <f t="shared" ca="1" si="2"/>
        <v>12</v>
      </c>
      <c r="K23" s="153">
        <f t="shared" ca="1" si="2"/>
        <v>15</v>
      </c>
      <c r="L23" s="153">
        <f t="shared" ca="1" si="2"/>
        <v>11</v>
      </c>
      <c r="M23" s="153">
        <f t="shared" ca="1" si="2"/>
        <v>13</v>
      </c>
      <c r="N23" s="153">
        <f t="shared" ca="1" si="2"/>
        <v>13</v>
      </c>
    </row>
    <row r="24" spans="1:14" x14ac:dyDescent="0.2">
      <c r="A24" s="157" t="s">
        <v>3</v>
      </c>
      <c r="B24" s="155"/>
      <c r="C24" s="155"/>
      <c r="D24" s="156"/>
      <c r="E24" s="153">
        <f ca="1">IF(E20&gt;TODAY(), #N/A, SUM($E23:E23))</f>
        <v>14</v>
      </c>
      <c r="F24" s="153">
        <f ca="1">IF(F20&gt;TODAY(), #N/A, SUM($E23:F23))</f>
        <v>27</v>
      </c>
      <c r="G24" s="153">
        <f ca="1">IF(G20&gt;TODAY(), #N/A, SUM($E23:G23))</f>
        <v>37</v>
      </c>
      <c r="H24" s="153">
        <f ca="1">IF(H20&gt;TODAY(), #N/A, SUM($E23:H23))</f>
        <v>51</v>
      </c>
      <c r="I24" s="153">
        <f ca="1">IF(I20&gt;TODAY(), #N/A, SUM($E23:I23))</f>
        <v>62</v>
      </c>
      <c r="J24" s="153">
        <f ca="1">IF(J20&gt;TODAY(), #N/A, SUM($E23:J23))</f>
        <v>74</v>
      </c>
      <c r="K24" s="153">
        <f ca="1">IF(K20&gt;TODAY(), #N/A, SUM($E23:K23))</f>
        <v>89</v>
      </c>
      <c r="L24" s="153">
        <f ca="1">IF(L20&gt;TODAY(), #N/A, SUM($E23:L23))</f>
        <v>100</v>
      </c>
      <c r="M24" s="153">
        <f ca="1">IF(M20&gt;TODAY(), #N/A, SUM($E23:M23))</f>
        <v>113</v>
      </c>
      <c r="N24" s="153">
        <f ca="1">IF(N20&gt;TODAY(), #N/A, SUM($E23:N23))</f>
        <v>126</v>
      </c>
    </row>
    <row r="25" spans="1:14" x14ac:dyDescent="0.2">
      <c r="A25" s="157" t="s">
        <v>22</v>
      </c>
      <c r="B25" s="155"/>
      <c r="C25" s="155"/>
      <c r="D25" s="156"/>
      <c r="E25" s="153">
        <f t="shared" ref="E25:N25" ca="1" si="3">IF(E20&gt;TODAY(), #N/A, E22+E24)</f>
        <v>126</v>
      </c>
      <c r="F25" s="153">
        <f t="shared" ca="1" si="3"/>
        <v>126</v>
      </c>
      <c r="G25" s="153">
        <f t="shared" ca="1" si="3"/>
        <v>126</v>
      </c>
      <c r="H25" s="153">
        <f t="shared" ca="1" si="3"/>
        <v>126</v>
      </c>
      <c r="I25" s="153">
        <f t="shared" ca="1" si="3"/>
        <v>126</v>
      </c>
      <c r="J25" s="153">
        <f t="shared" ca="1" si="3"/>
        <v>126</v>
      </c>
      <c r="K25" s="153">
        <f t="shared" ca="1" si="3"/>
        <v>126</v>
      </c>
      <c r="L25" s="153">
        <f t="shared" ca="1" si="3"/>
        <v>126</v>
      </c>
      <c r="M25" s="153">
        <f t="shared" ca="1" si="3"/>
        <v>126</v>
      </c>
      <c r="N25" s="153">
        <f t="shared" ca="1" si="3"/>
        <v>126</v>
      </c>
    </row>
    <row r="26" spans="1:14" x14ac:dyDescent="0.2">
      <c r="A26" s="157"/>
      <c r="B26" s="155"/>
      <c r="C26" s="155"/>
      <c r="D26" s="156"/>
      <c r="E26" s="155"/>
      <c r="F26" s="155"/>
      <c r="G26" s="155"/>
      <c r="H26" s="155"/>
      <c r="I26" s="155"/>
      <c r="J26" s="155"/>
      <c r="K26" s="155"/>
      <c r="L26" s="155"/>
      <c r="M26" s="155"/>
      <c r="N26" s="155"/>
    </row>
    <row r="27" spans="1:14" x14ac:dyDescent="0.2">
      <c r="A27" s="150" t="s">
        <v>4</v>
      </c>
      <c r="B27" s="155"/>
      <c r="C27" s="152"/>
      <c r="D27" s="156"/>
      <c r="E27" s="158">
        <f t="shared" ref="E27:N27" ca="1" si="4">IF(E20&gt;TODAY(), #N/A, E24/E19)</f>
        <v>14</v>
      </c>
      <c r="F27" s="158">
        <f t="shared" ca="1" si="4"/>
        <v>13.5</v>
      </c>
      <c r="G27" s="158">
        <f t="shared" ca="1" si="4"/>
        <v>12.333333333333334</v>
      </c>
      <c r="H27" s="158">
        <f t="shared" ca="1" si="4"/>
        <v>12.75</v>
      </c>
      <c r="I27" s="158">
        <f t="shared" ca="1" si="4"/>
        <v>12.4</v>
      </c>
      <c r="J27" s="158">
        <f t="shared" ca="1" si="4"/>
        <v>12.333333333333334</v>
      </c>
      <c r="K27" s="158">
        <f t="shared" ca="1" si="4"/>
        <v>12.714285714285714</v>
      </c>
      <c r="L27" s="158">
        <f t="shared" ca="1" si="4"/>
        <v>12.5</v>
      </c>
      <c r="M27" s="158">
        <f t="shared" ca="1" si="4"/>
        <v>12.555555555555555</v>
      </c>
      <c r="N27" s="158">
        <f t="shared" ca="1" si="4"/>
        <v>12.6</v>
      </c>
    </row>
    <row r="28" spans="1:14" x14ac:dyDescent="0.2">
      <c r="A28" s="157" t="s">
        <v>5</v>
      </c>
      <c r="B28" s="155"/>
      <c r="C28" s="155"/>
      <c r="D28" s="156"/>
      <c r="E28" s="159">
        <f t="shared" ref="E28:N28" ca="1" si="5">IF(E20&gt;TODAY(), #N/A, IF(E27=0, SprintStart, E20 + (E22/E27)))</f>
        <v>42691</v>
      </c>
      <c r="F28" s="159">
        <f t="shared" ca="1" si="5"/>
        <v>42691.333333333336</v>
      </c>
      <c r="G28" s="159">
        <f t="shared" ca="1" si="5"/>
        <v>42692.216216216213</v>
      </c>
      <c r="H28" s="159">
        <f t="shared" ca="1" si="5"/>
        <v>42693.882352941175</v>
      </c>
      <c r="I28" s="159">
        <f t="shared" ca="1" si="5"/>
        <v>42694.161290322583</v>
      </c>
      <c r="J28" s="159">
        <f t="shared" ca="1" si="5"/>
        <v>42694.216216216213</v>
      </c>
      <c r="K28" s="159">
        <f t="shared" ca="1" si="5"/>
        <v>42693.910112359554</v>
      </c>
      <c r="L28" s="159">
        <f t="shared" ca="1" si="5"/>
        <v>42694.080000000002</v>
      </c>
      <c r="M28" s="159">
        <f t="shared" ca="1" si="5"/>
        <v>42696.035398230088</v>
      </c>
      <c r="N28" s="159">
        <f t="shared" ca="1" si="5"/>
        <v>42696</v>
      </c>
    </row>
    <row r="29" spans="1:14" x14ac:dyDescent="0.2">
      <c r="A29" s="157" t="s">
        <v>31</v>
      </c>
      <c r="B29" s="155"/>
      <c r="C29" s="155"/>
      <c r="D29" s="156"/>
      <c r="E29" s="159">
        <f t="shared" ref="E29:N29" ca="1" si="6">IF(E$20&gt;TODAY(), #N/A, IF(E$33&gt;0, SprintStart+((E$25*E$19)/E$33)-1, SprintStart))</f>
        <v>42683</v>
      </c>
      <c r="F29" s="159">
        <f t="shared" ca="1" si="6"/>
        <v>42691.333333333336</v>
      </c>
      <c r="G29" s="159">
        <f t="shared" ca="1" si="6"/>
        <v>42696</v>
      </c>
      <c r="H29" s="159">
        <f t="shared" ca="1" si="6"/>
        <v>42694.923076923078</v>
      </c>
      <c r="I29" s="159">
        <f t="shared" ca="1" si="6"/>
        <v>42695.695652173912</v>
      </c>
      <c r="J29" s="159">
        <f t="shared" ca="1" si="6"/>
        <v>42693.8125</v>
      </c>
      <c r="K29" s="159">
        <f t="shared" ca="1" si="6"/>
        <v>42693.760000000002</v>
      </c>
      <c r="L29" s="159">
        <f t="shared" ca="1" si="6"/>
        <v>42694</v>
      </c>
      <c r="M29" s="159">
        <f t="shared" ca="1" si="6"/>
        <v>42693.690721649487</v>
      </c>
      <c r="N29" s="159">
        <f t="shared" ca="1" si="6"/>
        <v>42692</v>
      </c>
    </row>
    <row r="30" spans="1:14" x14ac:dyDescent="0.2">
      <c r="A30" s="157"/>
      <c r="B30" s="155"/>
      <c r="C30" s="155"/>
      <c r="D30" s="156"/>
      <c r="E30" s="155"/>
      <c r="F30" s="155"/>
      <c r="G30" s="155"/>
      <c r="H30" s="155"/>
      <c r="I30" s="155"/>
      <c r="J30" s="155"/>
      <c r="K30" s="155"/>
      <c r="L30" s="155"/>
      <c r="M30" s="155"/>
      <c r="N30" s="155"/>
    </row>
    <row r="31" spans="1:14" x14ac:dyDescent="0.2">
      <c r="A31" s="157" t="s">
        <v>27</v>
      </c>
      <c r="B31" s="155"/>
      <c r="C31" s="155"/>
      <c r="D31" s="156"/>
      <c r="E31" s="155">
        <f t="shared" ref="E31:N31" ca="1" si="7">IF(E$20&gt;TODAY(), #N/A, SUMIF(INDEX(Burndown,,(E$19-1)*BurndownColumns+StatusColumn), "=Pending",INDEX(Burndown,,(E$19-1)*BurndownColumns+HoursLeftColumn)))</f>
        <v>99</v>
      </c>
      <c r="F31" s="155">
        <f t="shared" ca="1" si="7"/>
        <v>99</v>
      </c>
      <c r="G31" s="155">
        <f t="shared" ca="1" si="7"/>
        <v>72</v>
      </c>
      <c r="H31" s="155">
        <f t="shared" ca="1" si="7"/>
        <v>65</v>
      </c>
      <c r="I31" s="155">
        <f t="shared" ca="1" si="7"/>
        <v>56</v>
      </c>
      <c r="J31" s="155">
        <f t="shared" ca="1" si="7"/>
        <v>34</v>
      </c>
      <c r="K31" s="155">
        <f t="shared" ca="1" si="7"/>
        <v>21</v>
      </c>
      <c r="L31" s="155">
        <f t="shared" ca="1" si="7"/>
        <v>15</v>
      </c>
      <c r="M31" s="155">
        <f t="shared" ca="1" si="7"/>
        <v>0</v>
      </c>
      <c r="N31" s="155">
        <f t="shared" ca="1" si="7"/>
        <v>0</v>
      </c>
    </row>
    <row r="32" spans="1:14" x14ac:dyDescent="0.2">
      <c r="A32" s="157" t="s">
        <v>28</v>
      </c>
      <c r="B32" s="155"/>
      <c r="C32" s="155"/>
      <c r="D32" s="156"/>
      <c r="E32" s="160">
        <f t="shared" ref="E32:N32" ca="1" si="8">E$22-E$31+E$24-E$33</f>
        <v>27</v>
      </c>
      <c r="F32" s="160">
        <f t="shared" ca="1" si="8"/>
        <v>0</v>
      </c>
      <c r="G32" s="160">
        <f t="shared" ca="1" si="8"/>
        <v>27</v>
      </c>
      <c r="H32" s="160">
        <f t="shared" ca="1" si="8"/>
        <v>22</v>
      </c>
      <c r="I32" s="160">
        <f t="shared" ca="1" si="8"/>
        <v>24</v>
      </c>
      <c r="J32" s="160">
        <f t="shared" ca="1" si="8"/>
        <v>28</v>
      </c>
      <c r="K32" s="160">
        <f t="shared" ca="1" si="8"/>
        <v>30</v>
      </c>
      <c r="L32" s="160">
        <f t="shared" ca="1" si="8"/>
        <v>27</v>
      </c>
      <c r="M32" s="160">
        <f t="shared" ca="1" si="8"/>
        <v>29</v>
      </c>
      <c r="N32" s="160">
        <f t="shared" ca="1" si="8"/>
        <v>0</v>
      </c>
    </row>
    <row r="33" spans="1:30" x14ac:dyDescent="0.2">
      <c r="A33" s="157" t="s">
        <v>29</v>
      </c>
      <c r="B33" s="155"/>
      <c r="C33" s="155"/>
      <c r="D33" s="156"/>
      <c r="E33" s="155">
        <f t="shared" ref="E33:N33" ca="1" si="9">IF(E$20&gt;TODAY(), #N/A, SUMIF(INDEX(Burndown,,(E$19-1)*BurndownColumns+StatusColumn), "=Complete",TotalEffort))</f>
        <v>0</v>
      </c>
      <c r="F33" s="155">
        <f t="shared" ca="1" si="9"/>
        <v>27</v>
      </c>
      <c r="G33" s="155">
        <f t="shared" ca="1" si="9"/>
        <v>27</v>
      </c>
      <c r="H33" s="155">
        <f t="shared" ca="1" si="9"/>
        <v>39</v>
      </c>
      <c r="I33" s="155">
        <f t="shared" ca="1" si="9"/>
        <v>46</v>
      </c>
      <c r="J33" s="155">
        <f t="shared" ca="1" si="9"/>
        <v>64</v>
      </c>
      <c r="K33" s="155">
        <f t="shared" ca="1" si="9"/>
        <v>75</v>
      </c>
      <c r="L33" s="155">
        <f t="shared" ca="1" si="9"/>
        <v>84</v>
      </c>
      <c r="M33" s="155">
        <f t="shared" ca="1" si="9"/>
        <v>97</v>
      </c>
      <c r="N33" s="155">
        <f t="shared" ca="1" si="9"/>
        <v>126</v>
      </c>
    </row>
    <row r="34" spans="1:30" x14ac:dyDescent="0.2">
      <c r="A34" s="157"/>
      <c r="B34" s="155"/>
      <c r="C34" s="155"/>
      <c r="D34" s="156"/>
      <c r="E34" s="155"/>
      <c r="F34" s="155"/>
      <c r="G34" s="155"/>
      <c r="H34" s="155"/>
      <c r="I34" s="155"/>
      <c r="J34" s="155"/>
      <c r="K34" s="155"/>
      <c r="L34" s="155"/>
      <c r="M34" s="155"/>
      <c r="N34" s="155"/>
    </row>
    <row r="35" spans="1:30" x14ac:dyDescent="0.2">
      <c r="A35" s="157" t="s">
        <v>10</v>
      </c>
      <c r="B35" s="155"/>
      <c r="C35" s="155"/>
      <c r="D35" s="156"/>
      <c r="E35" s="155">
        <f t="shared" ref="E35:N35" ca="1" si="10">IF(E20&gt;TODAY(), #N/A, COUNTIF(INDEX(Burndown,,(E19-1)*BurndownColumns+StatusColumn), "=Pending"))</f>
        <v>54</v>
      </c>
      <c r="F35" s="155">
        <f t="shared" ca="1" si="10"/>
        <v>54</v>
      </c>
      <c r="G35" s="155">
        <f t="shared" ca="1" si="10"/>
        <v>49</v>
      </c>
      <c r="H35" s="155">
        <f t="shared" ca="1" si="10"/>
        <v>47</v>
      </c>
      <c r="I35" s="155">
        <f t="shared" ca="1" si="10"/>
        <v>45</v>
      </c>
      <c r="J35" s="155">
        <f t="shared" ca="1" si="10"/>
        <v>40</v>
      </c>
      <c r="K35" s="155">
        <f t="shared" ca="1" si="10"/>
        <v>38</v>
      </c>
      <c r="L35" s="155">
        <f t="shared" ca="1" si="10"/>
        <v>37</v>
      </c>
      <c r="M35" s="155">
        <f t="shared" ca="1" si="10"/>
        <v>33</v>
      </c>
      <c r="N35" s="155">
        <f t="shared" ca="1" si="10"/>
        <v>33</v>
      </c>
    </row>
    <row r="36" spans="1:30" x14ac:dyDescent="0.2">
      <c r="A36" s="157" t="s">
        <v>6</v>
      </c>
      <c r="B36" s="155"/>
      <c r="C36" s="155"/>
      <c r="D36" s="156"/>
      <c r="E36" s="155">
        <f t="shared" ref="E36:N36" ca="1" si="11">IF(E20&gt;TODAY(), #N/A, COUNTIF(INDEX(Burndown,,(E19-1)*BurndownColumns+StatusColumn), "=In Progress"))</f>
        <v>7</v>
      </c>
      <c r="F36" s="155">
        <f t="shared" ca="1" si="11"/>
        <v>0</v>
      </c>
      <c r="G36" s="155">
        <f t="shared" ca="1" si="11"/>
        <v>5</v>
      </c>
      <c r="H36" s="155">
        <f t="shared" ca="1" si="11"/>
        <v>4</v>
      </c>
      <c r="I36" s="155">
        <f t="shared" ca="1" si="11"/>
        <v>4</v>
      </c>
      <c r="J36" s="155">
        <f t="shared" ca="1" si="11"/>
        <v>6</v>
      </c>
      <c r="K36" s="155">
        <f t="shared" ca="1" si="11"/>
        <v>5</v>
      </c>
      <c r="L36" s="155">
        <f t="shared" ca="1" si="11"/>
        <v>4</v>
      </c>
      <c r="M36" s="155">
        <f t="shared" ca="1" si="11"/>
        <v>6</v>
      </c>
      <c r="N36" s="155">
        <f t="shared" ca="1" si="11"/>
        <v>0</v>
      </c>
    </row>
    <row r="37" spans="1:30" x14ac:dyDescent="0.2">
      <c r="A37" s="157" t="s">
        <v>7</v>
      </c>
      <c r="B37" s="155"/>
      <c r="C37" s="155"/>
      <c r="D37" s="156"/>
      <c r="E37" s="155">
        <f t="shared" ref="E37:N37" ca="1" si="12">IF(E20&gt;TODAY(), #N/A, COUNTIF(INDEX(Burndown,,(E19-1)*BurndownColumns+StatusColumn), "=Complete"))</f>
        <v>0</v>
      </c>
      <c r="F37" s="155">
        <f t="shared" ca="1" si="12"/>
        <v>7</v>
      </c>
      <c r="G37" s="155">
        <f t="shared" ca="1" si="12"/>
        <v>7</v>
      </c>
      <c r="H37" s="155">
        <f t="shared" ca="1" si="12"/>
        <v>10</v>
      </c>
      <c r="I37" s="155">
        <f t="shared" ca="1" si="12"/>
        <v>12</v>
      </c>
      <c r="J37" s="155">
        <f t="shared" ca="1" si="12"/>
        <v>15</v>
      </c>
      <c r="K37" s="155">
        <f t="shared" ca="1" si="12"/>
        <v>18</v>
      </c>
      <c r="L37" s="155">
        <f t="shared" ca="1" si="12"/>
        <v>20</v>
      </c>
      <c r="M37" s="155">
        <f t="shared" ca="1" si="12"/>
        <v>22</v>
      </c>
      <c r="N37" s="155">
        <f t="shared" ca="1" si="12"/>
        <v>28</v>
      </c>
    </row>
    <row r="38" spans="1:30" x14ac:dyDescent="0.2">
      <c r="A38" s="140"/>
      <c r="B38" s="140"/>
      <c r="C38" s="140"/>
      <c r="D38" s="140"/>
      <c r="E38" s="140"/>
      <c r="F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</row>
    <row r="39" spans="1:30" x14ac:dyDescent="0.2">
      <c r="A39" s="157" t="s">
        <v>25</v>
      </c>
      <c r="B39" s="155"/>
      <c r="C39" s="155"/>
      <c r="D39" s="155"/>
      <c r="E39" s="152"/>
      <c r="F39" s="155"/>
      <c r="G39" s="157" t="s">
        <v>24</v>
      </c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</row>
    <row r="40" spans="1:30" ht="13.5" customHeight="1" x14ac:dyDescent="0.2">
      <c r="A40" s="157"/>
      <c r="B40" s="155" t="s">
        <v>26</v>
      </c>
      <c r="C40" s="155"/>
      <c r="D40" s="155"/>
      <c r="E40" s="155">
        <v>1</v>
      </c>
      <c r="F40" s="155"/>
      <c r="G40" s="155" t="s">
        <v>87</v>
      </c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140"/>
      <c r="AA40" s="140"/>
      <c r="AB40" s="140"/>
      <c r="AC40" s="140"/>
      <c r="AD40" s="140"/>
    </row>
    <row r="41" spans="1:30" ht="13.5" customHeight="1" x14ac:dyDescent="0.2">
      <c r="A41" s="157"/>
      <c r="B41" s="155" t="s">
        <v>88</v>
      </c>
      <c r="C41" s="155"/>
      <c r="D41" s="155"/>
      <c r="E41" s="155">
        <v>0</v>
      </c>
      <c r="F41" s="155"/>
      <c r="G41" s="155" t="s">
        <v>89</v>
      </c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140"/>
      <c r="AA41" s="140"/>
      <c r="AB41" s="140"/>
      <c r="AC41" s="140"/>
      <c r="AD41" s="140"/>
    </row>
    <row r="42" spans="1:30" x14ac:dyDescent="0.2">
      <c r="A42" s="157"/>
      <c r="B42" s="155"/>
      <c r="C42" s="155"/>
      <c r="D42" s="155"/>
      <c r="E42" s="152"/>
      <c r="F42" s="155"/>
      <c r="G42" s="161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140"/>
      <c r="AA42" s="140"/>
      <c r="AB42" s="140"/>
      <c r="AC42" s="140"/>
      <c r="AD42" s="140"/>
    </row>
    <row r="43" spans="1:30" x14ac:dyDescent="0.2">
      <c r="A43" s="157" t="s">
        <v>17</v>
      </c>
      <c r="B43" s="155"/>
      <c r="C43" s="155"/>
      <c r="D43" s="155"/>
      <c r="E43" s="152"/>
      <c r="F43" s="155"/>
      <c r="G43" s="155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140"/>
      <c r="AA43" s="140"/>
      <c r="AB43" s="140"/>
      <c r="AC43" s="140"/>
      <c r="AD43" s="140"/>
    </row>
    <row r="44" spans="1:30" x14ac:dyDescent="0.2">
      <c r="A44" s="155"/>
      <c r="B44" s="155" t="s">
        <v>15</v>
      </c>
      <c r="C44" s="155"/>
      <c r="D44" s="155"/>
      <c r="E44" s="155">
        <v>3</v>
      </c>
      <c r="F44" s="155"/>
      <c r="G44" s="155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140"/>
      <c r="AA44" s="140"/>
      <c r="AB44" s="140"/>
      <c r="AC44" s="140"/>
      <c r="AD44" s="140"/>
    </row>
    <row r="45" spans="1:30" x14ac:dyDescent="0.2">
      <c r="A45" s="155"/>
      <c r="B45" s="155" t="s">
        <v>19</v>
      </c>
      <c r="C45" s="155"/>
      <c r="D45" s="155"/>
      <c r="E45" s="155">
        <v>1</v>
      </c>
      <c r="F45" s="155"/>
      <c r="G45" s="161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140"/>
      <c r="AA45" s="140"/>
      <c r="AB45" s="140"/>
      <c r="AC45" s="140"/>
      <c r="AD45" s="140"/>
    </row>
    <row r="46" spans="1:30" x14ac:dyDescent="0.2">
      <c r="A46" s="155"/>
      <c r="B46" s="155" t="s">
        <v>18</v>
      </c>
      <c r="C46" s="155"/>
      <c r="D46" s="155"/>
      <c r="E46" s="155">
        <v>2</v>
      </c>
      <c r="F46" s="161"/>
      <c r="G46" s="161"/>
    </row>
    <row r="47" spans="1:30" x14ac:dyDescent="0.2">
      <c r="A47" s="155"/>
      <c r="B47" s="155" t="s">
        <v>16</v>
      </c>
      <c r="C47" s="155"/>
      <c r="D47" s="155"/>
      <c r="E47" s="155">
        <v>3</v>
      </c>
      <c r="F47" s="161"/>
      <c r="G47" s="161"/>
    </row>
    <row r="48" spans="1:30" x14ac:dyDescent="0.2">
      <c r="A48" s="140"/>
      <c r="C48" s="140"/>
      <c r="D48" s="140"/>
    </row>
    <row r="49" spans="1:1" x14ac:dyDescent="0.2">
      <c r="A49" s="141"/>
    </row>
    <row r="50" spans="1:1" x14ac:dyDescent="0.2">
      <c r="A50" s="140"/>
    </row>
    <row r="51" spans="1:1" x14ac:dyDescent="0.2">
      <c r="A51" s="140"/>
    </row>
  </sheetData>
  <phoneticPr fontId="2" type="noConversion"/>
  <conditionalFormatting sqref="D19:N21">
    <cfRule type="expression" dxfId="30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34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28" sqref="E28"/>
    </sheetView>
  </sheetViews>
  <sheetFormatPr defaultRowHeight="12.75" x14ac:dyDescent="0.2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 x14ac:dyDescent="0.25"/>
    <row r="2" spans="2:28" x14ac:dyDescent="0.2">
      <c r="B2" s="45" t="s">
        <v>44</v>
      </c>
      <c r="C2" s="46"/>
      <c r="D2" s="47" t="str">
        <f ca="1">TEXT(E2,"ddd")</f>
        <v>ddd</v>
      </c>
      <c r="E2" s="48">
        <f ca="1">TODAY()</f>
        <v>42728</v>
      </c>
    </row>
    <row r="3" spans="2:28" ht="13.5" thickBot="1" x14ac:dyDescent="0.25">
      <c r="B3" s="49" t="s">
        <v>43</v>
      </c>
      <c r="C3" s="50"/>
      <c r="D3" s="51" t="str">
        <f>TEXT(E3,"ddd")</f>
        <v>ddd</v>
      </c>
      <c r="E3" s="52">
        <v>42683</v>
      </c>
    </row>
    <row r="4" spans="2:28" ht="13.5" thickBot="1" x14ac:dyDescent="0.25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 x14ac:dyDescent="0.25">
      <c r="B5" s="190" t="s">
        <v>47</v>
      </c>
      <c r="C5" s="191"/>
      <c r="D5" s="191"/>
      <c r="E5" s="191"/>
      <c r="F5" s="191"/>
      <c r="G5" s="192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 x14ac:dyDescent="0.25">
      <c r="B6" s="60" t="s">
        <v>55</v>
      </c>
      <c r="C6" s="61">
        <v>2</v>
      </c>
      <c r="D6" s="62"/>
      <c r="E6" s="63" t="s">
        <v>56</v>
      </c>
      <c r="F6" s="64">
        <v>10</v>
      </c>
      <c r="G6" s="65"/>
      <c r="I6" s="66" t="str">
        <f>IF(D3="Mon",E3-0,IF(D3="Tue",E3-1,IF(D3="Wed",E3-2,IF(D3="Thu",E3-3,IF(D3="Fri",E3-4,IF(D3="Sat",E3-5,IF(D3="Sun",E3-6,"False")))))))</f>
        <v>False</v>
      </c>
      <c r="J6" s="67" t="e">
        <f t="shared" ref="J6:O6" si="0">I6+1</f>
        <v>#VALUE!</v>
      </c>
      <c r="K6" s="67" t="e">
        <f t="shared" si="0"/>
        <v>#VALUE!</v>
      </c>
      <c r="L6" s="67" t="e">
        <f t="shared" si="0"/>
        <v>#VALUE!</v>
      </c>
      <c r="M6" s="67" t="e">
        <f t="shared" si="0"/>
        <v>#VALUE!</v>
      </c>
      <c r="N6" s="68" t="e">
        <f t="shared" si="0"/>
        <v>#VALUE!</v>
      </c>
      <c r="O6" s="68" t="e">
        <f t="shared" si="0"/>
        <v>#VALUE!</v>
      </c>
      <c r="P6" s="69" t="e">
        <f>I6+7</f>
        <v>#VALUE!</v>
      </c>
      <c r="Q6" s="67" t="e">
        <f t="shared" ref="Q6:V6" si="1">P6+1</f>
        <v>#VALUE!</v>
      </c>
      <c r="R6" s="67" t="e">
        <f t="shared" si="1"/>
        <v>#VALUE!</v>
      </c>
      <c r="S6" s="67" t="e">
        <f t="shared" si="1"/>
        <v>#VALUE!</v>
      </c>
      <c r="T6" s="67" t="e">
        <f t="shared" si="1"/>
        <v>#VALUE!</v>
      </c>
      <c r="U6" s="68" t="e">
        <f t="shared" si="1"/>
        <v>#VALUE!</v>
      </c>
      <c r="V6" s="68" t="e">
        <f t="shared" si="1"/>
        <v>#VALUE!</v>
      </c>
      <c r="W6" s="193"/>
      <c r="X6" s="194"/>
      <c r="Y6" s="194"/>
      <c r="Z6" s="194"/>
      <c r="AA6" s="194"/>
      <c r="AB6" s="195"/>
    </row>
    <row r="7" spans="2:28" ht="29.25" customHeight="1" thickBot="1" x14ac:dyDescent="0.25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196" t="s">
        <v>42</v>
      </c>
      <c r="X7" s="197"/>
      <c r="Y7" s="197"/>
      <c r="Z7" s="197"/>
      <c r="AA7" s="197"/>
      <c r="AB7" s="198"/>
    </row>
    <row r="8" spans="2:28" ht="13.5" thickBot="1" x14ac:dyDescent="0.25">
      <c r="B8" s="78" t="s">
        <v>37</v>
      </c>
      <c r="C8" s="79">
        <f>SUM(G8:G14)</f>
        <v>127</v>
      </c>
      <c r="D8" s="80"/>
      <c r="E8" s="81" t="s">
        <v>138</v>
      </c>
      <c r="F8" s="82">
        <v>1</v>
      </c>
      <c r="G8" s="83">
        <v>20</v>
      </c>
      <c r="H8" s="84"/>
      <c r="I8" s="89">
        <f t="shared" ref="I8:I14" ca="1" si="2">IF(I$6&lt;$E$3,0,IF(ISBLANK($E8),0,IF(I$6&lt;$E$2,0,1)))</f>
        <v>1</v>
      </c>
      <c r="J8" s="90">
        <v>1</v>
      </c>
      <c r="K8" s="90">
        <v>1</v>
      </c>
      <c r="L8" s="90">
        <v>1</v>
      </c>
      <c r="M8" s="90">
        <v>1</v>
      </c>
      <c r="N8" s="85"/>
      <c r="O8" s="86"/>
      <c r="P8" s="89">
        <v>1</v>
      </c>
      <c r="Q8" s="90">
        <v>1</v>
      </c>
      <c r="R8" s="90">
        <v>1</v>
      </c>
      <c r="S8" s="90">
        <v>1</v>
      </c>
      <c r="T8" s="90">
        <v>1</v>
      </c>
      <c r="U8" s="85"/>
      <c r="V8" s="86"/>
      <c r="W8" s="187">
        <f t="shared" ref="W8:W14" ca="1" si="3">IF(E8="unassigned",0,(COUNTIF(I8:V8,1)*$C$6)*F8)</f>
        <v>20</v>
      </c>
      <c r="X8" s="188"/>
      <c r="Y8" s="188"/>
      <c r="Z8" s="188"/>
      <c r="AA8" s="188"/>
      <c r="AB8" s="189"/>
    </row>
    <row r="9" spans="2:28" ht="13.5" thickBot="1" x14ac:dyDescent="0.25">
      <c r="B9" s="87" t="s">
        <v>38</v>
      </c>
      <c r="C9" s="79">
        <f ca="1">SUM(W8:AB14)</f>
        <v>127</v>
      </c>
      <c r="D9" s="88"/>
      <c r="E9" s="18" t="s">
        <v>140</v>
      </c>
      <c r="F9" s="82">
        <v>1</v>
      </c>
      <c r="G9" s="83">
        <v>20</v>
      </c>
      <c r="H9" s="84"/>
      <c r="I9" s="89">
        <f t="shared" ca="1" si="2"/>
        <v>1</v>
      </c>
      <c r="J9" s="90">
        <v>1</v>
      </c>
      <c r="K9" s="90">
        <v>1</v>
      </c>
      <c r="L9" s="90">
        <v>1</v>
      </c>
      <c r="M9" s="90">
        <v>1</v>
      </c>
      <c r="N9" s="91"/>
      <c r="O9" s="92"/>
      <c r="P9" s="89">
        <v>1</v>
      </c>
      <c r="Q9" s="90">
        <v>1</v>
      </c>
      <c r="R9" s="90">
        <v>1</v>
      </c>
      <c r="S9" s="90">
        <v>1</v>
      </c>
      <c r="T9" s="90">
        <v>1</v>
      </c>
      <c r="U9" s="91"/>
      <c r="V9" s="92"/>
      <c r="W9" s="187">
        <f t="shared" ca="1" si="3"/>
        <v>20</v>
      </c>
      <c r="X9" s="188"/>
      <c r="Y9" s="188"/>
      <c r="Z9" s="188"/>
      <c r="AA9" s="188"/>
      <c r="AB9" s="189"/>
    </row>
    <row r="10" spans="2:28" ht="13.5" thickBot="1" x14ac:dyDescent="0.25">
      <c r="B10" s="93" t="s">
        <v>39</v>
      </c>
      <c r="C10" s="94">
        <f ca="1">C8-C9</f>
        <v>0</v>
      </c>
      <c r="D10" s="62"/>
      <c r="E10" s="18" t="s">
        <v>142</v>
      </c>
      <c r="F10" s="82">
        <v>1</v>
      </c>
      <c r="G10" s="83">
        <v>20</v>
      </c>
      <c r="H10" s="84"/>
      <c r="I10" s="89">
        <f t="shared" ca="1" si="2"/>
        <v>1</v>
      </c>
      <c r="J10" s="90">
        <v>1</v>
      </c>
      <c r="K10" s="90">
        <v>1</v>
      </c>
      <c r="L10" s="90">
        <v>1</v>
      </c>
      <c r="M10" s="90">
        <v>1</v>
      </c>
      <c r="N10" s="91"/>
      <c r="O10" s="92"/>
      <c r="P10" s="89">
        <v>1</v>
      </c>
      <c r="Q10" s="90">
        <v>1</v>
      </c>
      <c r="R10" s="90">
        <v>1</v>
      </c>
      <c r="S10" s="90">
        <v>1</v>
      </c>
      <c r="T10" s="90">
        <v>1</v>
      </c>
      <c r="U10" s="91"/>
      <c r="V10" s="92"/>
      <c r="W10" s="187">
        <f t="shared" ca="1" si="3"/>
        <v>20</v>
      </c>
      <c r="X10" s="188"/>
      <c r="Y10" s="188"/>
      <c r="Z10" s="188"/>
      <c r="AA10" s="188"/>
      <c r="AB10" s="189"/>
    </row>
    <row r="11" spans="2:28" ht="13.5" thickBot="1" x14ac:dyDescent="0.25">
      <c r="B11" s="95"/>
      <c r="D11" s="96"/>
      <c r="E11" s="18" t="s">
        <v>144</v>
      </c>
      <c r="F11" s="82">
        <v>0.75</v>
      </c>
      <c r="G11" s="83">
        <v>15</v>
      </c>
      <c r="H11" s="84"/>
      <c r="I11" s="89">
        <f t="shared" ca="1" si="2"/>
        <v>1</v>
      </c>
      <c r="J11" s="90">
        <v>1</v>
      </c>
      <c r="K11" s="90">
        <v>1</v>
      </c>
      <c r="L11" s="90">
        <v>1</v>
      </c>
      <c r="M11" s="90">
        <v>1</v>
      </c>
      <c r="N11" s="91"/>
      <c r="O11" s="92"/>
      <c r="P11" s="89">
        <v>1</v>
      </c>
      <c r="Q11" s="90">
        <v>1</v>
      </c>
      <c r="R11" s="90">
        <v>1</v>
      </c>
      <c r="S11" s="90">
        <v>1</v>
      </c>
      <c r="T11" s="90">
        <v>1</v>
      </c>
      <c r="U11" s="91"/>
      <c r="V11" s="92"/>
      <c r="W11" s="187">
        <f t="shared" ca="1" si="3"/>
        <v>15</v>
      </c>
      <c r="X11" s="188"/>
      <c r="Y11" s="188"/>
      <c r="Z11" s="188"/>
      <c r="AA11" s="188"/>
      <c r="AB11" s="189"/>
    </row>
    <row r="12" spans="2:28" ht="13.5" thickBot="1" x14ac:dyDescent="0.25">
      <c r="B12" s="95"/>
      <c r="D12" s="96"/>
      <c r="E12" s="18" t="s">
        <v>135</v>
      </c>
      <c r="F12" s="82">
        <v>0.75</v>
      </c>
      <c r="G12" s="83">
        <v>15</v>
      </c>
      <c r="H12" s="84"/>
      <c r="I12" s="89">
        <f t="shared" ca="1" si="2"/>
        <v>1</v>
      </c>
      <c r="J12" s="90">
        <v>1</v>
      </c>
      <c r="K12" s="90">
        <v>1</v>
      </c>
      <c r="L12" s="90">
        <v>1</v>
      </c>
      <c r="M12" s="90">
        <v>1</v>
      </c>
      <c r="N12" s="91"/>
      <c r="O12" s="92"/>
      <c r="P12" s="89">
        <v>1</v>
      </c>
      <c r="Q12" s="90">
        <v>1</v>
      </c>
      <c r="R12" s="90">
        <v>1</v>
      </c>
      <c r="S12" s="90">
        <v>1</v>
      </c>
      <c r="T12" s="90">
        <v>1</v>
      </c>
      <c r="U12" s="91"/>
      <c r="V12" s="92"/>
      <c r="W12" s="187">
        <f t="shared" ca="1" si="3"/>
        <v>15</v>
      </c>
      <c r="X12" s="188"/>
      <c r="Y12" s="188"/>
      <c r="Z12" s="188"/>
      <c r="AA12" s="188"/>
      <c r="AB12" s="189"/>
    </row>
    <row r="13" spans="2:28" ht="13.5" thickBot="1" x14ac:dyDescent="0.25">
      <c r="B13" s="95"/>
      <c r="D13" s="97"/>
      <c r="E13" s="18" t="s">
        <v>136</v>
      </c>
      <c r="F13" s="82">
        <v>1</v>
      </c>
      <c r="G13" s="83">
        <v>20</v>
      </c>
      <c r="H13" s="84"/>
      <c r="I13" s="89">
        <f t="shared" ca="1" si="2"/>
        <v>1</v>
      </c>
      <c r="J13" s="90">
        <v>1</v>
      </c>
      <c r="K13" s="90">
        <v>1</v>
      </c>
      <c r="L13" s="90">
        <v>1</v>
      </c>
      <c r="M13" s="90">
        <v>1</v>
      </c>
      <c r="N13" s="91"/>
      <c r="O13" s="92"/>
      <c r="P13" s="89">
        <v>1</v>
      </c>
      <c r="Q13" s="90">
        <v>1</v>
      </c>
      <c r="R13" s="90">
        <v>1</v>
      </c>
      <c r="S13" s="90">
        <v>1</v>
      </c>
      <c r="T13" s="90">
        <v>1</v>
      </c>
      <c r="U13" s="91"/>
      <c r="V13" s="92"/>
      <c r="W13" s="187">
        <f t="shared" ca="1" si="3"/>
        <v>20</v>
      </c>
      <c r="X13" s="188"/>
      <c r="Y13" s="188"/>
      <c r="Z13" s="188"/>
      <c r="AA13" s="188"/>
      <c r="AB13" s="189"/>
    </row>
    <row r="14" spans="2:28" ht="13.5" thickBot="1" x14ac:dyDescent="0.25">
      <c r="B14" s="95"/>
      <c r="D14" s="62"/>
      <c r="E14" s="18" t="s">
        <v>148</v>
      </c>
      <c r="F14" s="82">
        <v>0.85</v>
      </c>
      <c r="G14" s="83">
        <v>17</v>
      </c>
      <c r="H14" s="84"/>
      <c r="I14" s="89">
        <f t="shared" ca="1" si="2"/>
        <v>1</v>
      </c>
      <c r="J14" s="90">
        <v>1</v>
      </c>
      <c r="K14" s="90">
        <v>1</v>
      </c>
      <c r="L14" s="90">
        <v>1</v>
      </c>
      <c r="M14" s="90">
        <v>1</v>
      </c>
      <c r="N14" s="91"/>
      <c r="O14" s="92"/>
      <c r="P14" s="89">
        <v>1</v>
      </c>
      <c r="Q14" s="90">
        <v>1</v>
      </c>
      <c r="R14" s="90">
        <v>1</v>
      </c>
      <c r="S14" s="90">
        <v>1</v>
      </c>
      <c r="T14" s="90">
        <v>1</v>
      </c>
      <c r="U14" s="91"/>
      <c r="V14" s="92"/>
      <c r="W14" s="187">
        <f t="shared" ca="1" si="3"/>
        <v>17</v>
      </c>
      <c r="X14" s="188"/>
      <c r="Y14" s="188"/>
      <c r="Z14" s="188"/>
      <c r="AA14" s="188"/>
      <c r="AB14" s="189"/>
    </row>
    <row r="15" spans="2:28" x14ac:dyDescent="0.2">
      <c r="B15" s="95"/>
      <c r="D15" s="97"/>
      <c r="E15" s="99"/>
      <c r="F15" s="98"/>
      <c r="G15" s="100"/>
      <c r="I15" s="101"/>
      <c r="J15" s="102"/>
      <c r="K15" s="102"/>
      <c r="L15" s="102"/>
      <c r="M15" s="102"/>
      <c r="N15" s="103"/>
      <c r="O15" s="103"/>
      <c r="P15" s="102"/>
      <c r="Q15" s="102"/>
      <c r="R15" s="102"/>
      <c r="S15" s="102"/>
      <c r="T15" s="102"/>
      <c r="U15" s="103"/>
      <c r="V15" s="103"/>
      <c r="W15" s="104"/>
      <c r="X15" s="104"/>
      <c r="Y15" s="104"/>
      <c r="Z15" s="104"/>
      <c r="AA15" s="104"/>
      <c r="AB15" s="105"/>
    </row>
    <row r="16" spans="2:28" ht="13.5" thickBot="1" x14ac:dyDescent="0.25">
      <c r="B16" s="106"/>
      <c r="C16" s="107"/>
      <c r="D16" s="107"/>
      <c r="E16" s="108"/>
      <c r="F16" s="108"/>
      <c r="G16" s="109"/>
      <c r="I16" s="110"/>
      <c r="J16" s="108"/>
      <c r="K16" s="108"/>
      <c r="L16" s="108"/>
      <c r="M16" s="111"/>
      <c r="N16" s="111"/>
      <c r="O16" s="111"/>
      <c r="P16" s="111"/>
      <c r="Q16" s="111"/>
      <c r="R16" s="108"/>
      <c r="S16" s="108"/>
      <c r="T16" s="111"/>
      <c r="U16" s="111"/>
      <c r="V16" s="111"/>
      <c r="W16" s="108"/>
      <c r="X16" s="108"/>
      <c r="Y16" s="108"/>
      <c r="Z16" s="108"/>
      <c r="AA16" s="108"/>
      <c r="AB16" s="109"/>
    </row>
    <row r="18" spans="2:22" x14ac:dyDescent="0.2">
      <c r="I18" s="112" t="s">
        <v>51</v>
      </c>
      <c r="J18" s="43" t="s">
        <v>40</v>
      </c>
      <c r="K18" s="43" t="s">
        <v>52</v>
      </c>
      <c r="Q18" s="112" t="s">
        <v>50</v>
      </c>
      <c r="R18" s="43" t="s">
        <v>40</v>
      </c>
      <c r="S18" s="43" t="s">
        <v>54</v>
      </c>
    </row>
    <row r="19" spans="2:22" x14ac:dyDescent="0.2">
      <c r="C19" s="113"/>
      <c r="D19" s="113"/>
    </row>
    <row r="20" spans="2:22" x14ac:dyDescent="0.2">
      <c r="B20" s="97"/>
      <c r="C20" s="113"/>
      <c r="D20" s="113"/>
      <c r="E20" s="114"/>
      <c r="J20" s="6"/>
    </row>
    <row r="21" spans="2:22" x14ac:dyDescent="0.2">
      <c r="C21" s="113"/>
      <c r="D21" s="113"/>
      <c r="E21" s="114"/>
      <c r="F21" s="53"/>
    </row>
    <row r="26" spans="2:22" x14ac:dyDescent="0.2">
      <c r="I26" s="115"/>
    </row>
    <row r="27" spans="2:22" x14ac:dyDescent="0.2">
      <c r="J27" s="116"/>
      <c r="K27" s="117"/>
      <c r="L27" s="117"/>
      <c r="M27" s="117"/>
      <c r="N27" s="117"/>
      <c r="O27" s="117"/>
      <c r="Q27" s="116"/>
      <c r="R27" s="117"/>
      <c r="S27" s="117"/>
      <c r="T27" s="117"/>
      <c r="U27" s="117"/>
      <c r="V27" s="117"/>
    </row>
    <row r="29" spans="2:22" x14ac:dyDescent="0.2">
      <c r="E29" s="6"/>
    </row>
    <row r="34" spans="2:5" x14ac:dyDescent="0.2">
      <c r="B34" s="118"/>
      <c r="E34" s="115"/>
    </row>
  </sheetData>
  <mergeCells count="10">
    <mergeCell ref="W13:AB13"/>
    <mergeCell ref="W14:AB14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14">
    <cfRule type="expression" dxfId="29" priority="2" stopIfTrue="1">
      <formula>G8&gt;W8</formula>
    </cfRule>
  </conditionalFormatting>
  <conditionalFormatting sqref="I8:M14 P8:T14">
    <cfRule type="cellIs" dxfId="28" priority="5" stopIfTrue="1" operator="equal">
      <formula>"H"</formula>
    </cfRule>
    <cfRule type="cellIs" dxfId="27" priority="6" stopIfTrue="1" operator="equal">
      <formula>"V"</formula>
    </cfRule>
    <cfRule type="expression" dxfId="26" priority="7" stopIfTrue="1">
      <formula>IF(I$6&lt;$E$2,1,0)</formula>
    </cfRule>
  </conditionalFormatting>
  <conditionalFormatting sqref="X19:X23 X15:X17 J21:J23 J15:J19 I15:I23 Q18 T15:W23 N8:O14 K15:O23 U8:V14 P19:S23 P15:S17">
    <cfRule type="cellIs" dxfId="25" priority="13" stopIfTrue="1" operator="equal">
      <formula>"DIO"</formula>
    </cfRule>
    <cfRule type="cellIs" dxfId="24" priority="14" stopIfTrue="1" operator="equal">
      <formula>"H"</formula>
    </cfRule>
    <cfRule type="cellIs" dxfId="23" priority="15" stopIfTrue="1" operator="equal">
      <formula>"V"</formula>
    </cfRule>
  </conditionalFormatting>
  <conditionalFormatting sqref="P6">
    <cfRule type="expression" dxfId="22" priority="21" stopIfTrue="1">
      <formula>P$6=TODAY()</formula>
    </cfRule>
    <cfRule type="expression" dxfId="21" priority="22" stopIfTrue="1">
      <formula>IF((P$6+1-$E$3)=$F$6,1,0)</formula>
    </cfRule>
  </conditionalFormatting>
  <conditionalFormatting sqref="Q6:V6 J6:O6">
    <cfRule type="expression" dxfId="20" priority="23" stopIfTrue="1">
      <formula>J$6=TODAY()</formula>
    </cfRule>
    <cfRule type="expression" dxfId="19" priority="24" stopIfTrue="1">
      <formula>IF((J$6+1-$E$3)=$F$6,1,0)</formula>
    </cfRule>
  </conditionalFormatting>
  <conditionalFormatting sqref="I6">
    <cfRule type="expression" dxfId="18" priority="25" stopIfTrue="1">
      <formula>I$6=TODAY()</formula>
    </cfRule>
    <cfRule type="expression" dxfId="17" priority="26" stopIfTrue="1">
      <formula>IF((J$6+1-$E$3)=$F$6,1,0)</formula>
    </cfRule>
  </conditionalFormatting>
  <conditionalFormatting sqref="F8:F16">
    <cfRule type="expression" dxfId="16" priority="1" stopIfTrue="1">
      <formula>H8&gt;X8</formula>
    </cfRule>
  </conditionalFormatting>
  <conditionalFormatting sqref="F19:F22">
    <cfRule type="expression" dxfId="15" priority="4" stopIfTrue="1">
      <formula>H17&gt;X17</formula>
    </cfRule>
  </conditionalFormatting>
  <conditionalFormatting sqref="C10">
    <cfRule type="cellIs" dxfId="14" priority="8" stopIfTrue="1" operator="greaterThan">
      <formula>0</formula>
    </cfRule>
    <cfRule type="cellIs" dxfId="13" priority="9" stopIfTrue="1" operator="lessThanOrEqual">
      <formula>0</formula>
    </cfRule>
  </conditionalFormatting>
  <conditionalFormatting sqref="D14 D6:D12 C6:C9">
    <cfRule type="cellIs" dxfId="12" priority="10" stopIfTrue="1" operator="equal">
      <formula>"3A"</formula>
    </cfRule>
    <cfRule type="cellIs" dxfId="11" priority="11" stopIfTrue="1" operator="equal">
      <formula>"3B"</formula>
    </cfRule>
  </conditionalFormatting>
  <conditionalFormatting sqref="G21:G23 G6">
    <cfRule type="cellIs" dxfId="10" priority="12" stopIfTrue="1" operator="equal">
      <formula>"Done"</formula>
    </cfRule>
  </conditionalFormatting>
  <conditionalFormatting sqref="I7:K7 M7:W7">
    <cfRule type="cellIs" dxfId="9" priority="16" stopIfTrue="1" operator="equal">
      <formula>"DIO"</formula>
    </cfRule>
    <cfRule type="cellIs" dxfId="8" priority="17" stopIfTrue="1" operator="equal">
      <formula>"H"</formula>
    </cfRule>
    <cfRule type="cellIs" dxfId="7" priority="18" stopIfTrue="1" operator="equal">
      <formula>"V"</formula>
    </cfRule>
  </conditionalFormatting>
  <conditionalFormatting sqref="L7">
    <cfRule type="cellIs" dxfId="6" priority="19" stopIfTrue="1" operator="equal">
      <formula>"DIO"</formula>
    </cfRule>
    <cfRule type="cellIs" dxfId="5" priority="20" stopIfTrue="1" operator="equal">
      <formula>"H"</formula>
    </cfRule>
  </conditionalFormatting>
  <dataValidations count="1">
    <dataValidation type="list" allowBlank="1" showInputMessage="1" showErrorMessage="1" sqref="B19 E8:E14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22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4:I51"/>
  <sheetViews>
    <sheetView workbookViewId="0">
      <selection activeCell="L20" sqref="L20"/>
    </sheetView>
  </sheetViews>
  <sheetFormatPr defaultRowHeight="12.75" x14ac:dyDescent="0.2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 x14ac:dyDescent="0.2">
      <c r="B4" s="119" t="s">
        <v>57</v>
      </c>
    </row>
    <row r="5" spans="2:8" ht="13.5" thickBot="1" x14ac:dyDescent="0.25"/>
    <row r="6" spans="2:8" ht="14.25" thickTop="1" thickBot="1" x14ac:dyDescent="0.25">
      <c r="B6" s="119" t="s">
        <v>41</v>
      </c>
      <c r="C6" s="120" t="s">
        <v>98</v>
      </c>
      <c r="D6" s="121" t="s">
        <v>91</v>
      </c>
      <c r="E6" s="122" t="s">
        <v>97</v>
      </c>
      <c r="F6" s="123" t="s">
        <v>96</v>
      </c>
      <c r="G6" s="123" t="s">
        <v>100</v>
      </c>
      <c r="H6" s="124" t="s">
        <v>99</v>
      </c>
    </row>
    <row r="7" spans="2:8" ht="13.5" thickTop="1" x14ac:dyDescent="0.2">
      <c r="C7" s="125"/>
      <c r="D7" s="126" t="s">
        <v>49</v>
      </c>
      <c r="E7" s="127"/>
      <c r="F7" s="128"/>
      <c r="G7" s="128"/>
      <c r="H7" s="129"/>
    </row>
    <row r="8" spans="2:8" ht="15" x14ac:dyDescent="0.25">
      <c r="C8" s="130" t="s">
        <v>137</v>
      </c>
      <c r="D8" s="179" t="s">
        <v>138</v>
      </c>
      <c r="E8" s="131" t="s">
        <v>94</v>
      </c>
      <c r="F8" s="132" t="s">
        <v>95</v>
      </c>
      <c r="G8" s="131" t="s">
        <v>101</v>
      </c>
      <c r="H8" s="131" t="s">
        <v>92</v>
      </c>
    </row>
    <row r="9" spans="2:8" ht="15" x14ac:dyDescent="0.25">
      <c r="C9" s="130" t="s">
        <v>139</v>
      </c>
      <c r="D9" s="179" t="s">
        <v>140</v>
      </c>
      <c r="E9" s="131" t="s">
        <v>94</v>
      </c>
      <c r="F9" s="132" t="s">
        <v>95</v>
      </c>
      <c r="G9" s="131" t="s">
        <v>101</v>
      </c>
      <c r="H9" s="131" t="s">
        <v>92</v>
      </c>
    </row>
    <row r="10" spans="2:8" ht="11.25" customHeight="1" x14ac:dyDescent="0.2">
      <c r="C10" s="130" t="s">
        <v>141</v>
      </c>
      <c r="D10" s="180" t="s">
        <v>142</v>
      </c>
      <c r="E10" s="131" t="s">
        <v>94</v>
      </c>
      <c r="F10" s="132" t="s">
        <v>95</v>
      </c>
      <c r="G10" s="131" t="s">
        <v>101</v>
      </c>
      <c r="H10" s="131" t="s">
        <v>92</v>
      </c>
    </row>
    <row r="11" spans="2:8" x14ac:dyDescent="0.2">
      <c r="C11" s="130" t="s">
        <v>143</v>
      </c>
      <c r="D11" s="181" t="s">
        <v>144</v>
      </c>
      <c r="E11" s="131" t="s">
        <v>94</v>
      </c>
      <c r="F11" s="132" t="s">
        <v>95</v>
      </c>
      <c r="G11" s="131" t="s">
        <v>101</v>
      </c>
      <c r="H11" s="131" t="s">
        <v>92</v>
      </c>
    </row>
    <row r="12" spans="2:8" x14ac:dyDescent="0.2">
      <c r="C12" s="130" t="s">
        <v>145</v>
      </c>
      <c r="D12" s="181" t="s">
        <v>135</v>
      </c>
      <c r="E12" s="131" t="s">
        <v>94</v>
      </c>
      <c r="F12" s="132" t="s">
        <v>95</v>
      </c>
      <c r="G12" s="131" t="s">
        <v>101</v>
      </c>
      <c r="H12" s="131" t="s">
        <v>92</v>
      </c>
    </row>
    <row r="13" spans="2:8" x14ac:dyDescent="0.2">
      <c r="C13" s="130" t="s">
        <v>146</v>
      </c>
      <c r="D13" s="180" t="s">
        <v>136</v>
      </c>
      <c r="E13" s="131" t="s">
        <v>94</v>
      </c>
      <c r="F13" s="132" t="s">
        <v>95</v>
      </c>
      <c r="G13" s="131" t="s">
        <v>101</v>
      </c>
      <c r="H13" s="131" t="s">
        <v>92</v>
      </c>
    </row>
    <row r="14" spans="2:8" x14ac:dyDescent="0.2">
      <c r="C14" s="130" t="s">
        <v>147</v>
      </c>
      <c r="D14" s="180" t="s">
        <v>148</v>
      </c>
      <c r="E14" s="131" t="s">
        <v>94</v>
      </c>
      <c r="F14" s="132" t="s">
        <v>95</v>
      </c>
      <c r="G14" s="131" t="s">
        <v>101</v>
      </c>
      <c r="H14" s="131" t="s">
        <v>92</v>
      </c>
    </row>
    <row r="15" spans="2:8" x14ac:dyDescent="0.2">
      <c r="C15" s="130"/>
      <c r="D15" s="131"/>
      <c r="E15" s="131"/>
      <c r="F15" s="132"/>
      <c r="G15" s="131"/>
      <c r="H15" s="131"/>
    </row>
    <row r="16" spans="2:8" x14ac:dyDescent="0.2">
      <c r="C16" s="130"/>
      <c r="D16" s="131"/>
      <c r="E16" s="131"/>
      <c r="F16" s="132"/>
      <c r="G16" s="131"/>
      <c r="H16" s="131"/>
    </row>
    <row r="17" spans="3:8" x14ac:dyDescent="0.2">
      <c r="C17" s="130"/>
      <c r="D17" s="131"/>
      <c r="E17" s="131"/>
      <c r="F17" s="132"/>
      <c r="G17" s="131"/>
      <c r="H17" s="131"/>
    </row>
    <row r="18" spans="3:8" x14ac:dyDescent="0.2">
      <c r="C18" s="130"/>
      <c r="D18" s="131"/>
      <c r="E18" s="131"/>
      <c r="F18" s="132"/>
      <c r="G18" s="131"/>
      <c r="H18" s="131"/>
    </row>
    <row r="19" spans="3:8" x14ac:dyDescent="0.2">
      <c r="C19" s="130"/>
      <c r="D19" s="131"/>
      <c r="E19" s="131"/>
      <c r="F19" s="132"/>
      <c r="G19" s="131"/>
      <c r="H19" s="131"/>
    </row>
    <row r="20" spans="3:8" x14ac:dyDescent="0.2">
      <c r="C20" s="130"/>
      <c r="D20" s="131"/>
      <c r="E20" s="131"/>
      <c r="F20" s="132"/>
      <c r="G20" s="131"/>
      <c r="H20" s="131"/>
    </row>
    <row r="21" spans="3:8" x14ac:dyDescent="0.2">
      <c r="C21" s="130"/>
      <c r="D21" s="131"/>
      <c r="E21" s="131"/>
      <c r="F21" s="132"/>
      <c r="G21" s="131"/>
      <c r="H21" s="131"/>
    </row>
    <row r="22" spans="3:8" x14ac:dyDescent="0.2">
      <c r="C22" s="130"/>
      <c r="D22" s="131"/>
      <c r="E22" s="131"/>
      <c r="F22" s="132"/>
      <c r="G22" s="131"/>
      <c r="H22" s="131"/>
    </row>
    <row r="23" spans="3:8" x14ac:dyDescent="0.2">
      <c r="C23" s="130"/>
      <c r="D23" s="131"/>
      <c r="E23" s="131"/>
      <c r="F23" s="132"/>
      <c r="G23" s="131"/>
      <c r="H23" s="131"/>
    </row>
    <row r="24" spans="3:8" x14ac:dyDescent="0.2">
      <c r="C24" s="130"/>
      <c r="D24" s="131"/>
      <c r="E24" s="131"/>
      <c r="F24" s="132"/>
      <c r="G24" s="131"/>
      <c r="H24" s="131"/>
    </row>
    <row r="25" spans="3:8" ht="13.5" thickBot="1" x14ac:dyDescent="0.25">
      <c r="C25" s="133"/>
      <c r="D25" s="134"/>
      <c r="E25" s="134"/>
      <c r="F25" s="135"/>
      <c r="G25" s="136"/>
      <c r="H25" s="137"/>
    </row>
    <row r="26" spans="3:8" ht="13.5" thickTop="1" x14ac:dyDescent="0.2"/>
    <row r="41" spans="7:9" x14ac:dyDescent="0.2">
      <c r="G41" s="119"/>
      <c r="I41" s="138"/>
    </row>
    <row r="43" spans="7:9" x14ac:dyDescent="0.2">
      <c r="G43" s="119"/>
      <c r="H43" s="138"/>
      <c r="I43" s="138"/>
    </row>
    <row r="51" spans="4:4" x14ac:dyDescent="0.2">
      <c r="D51" s="6"/>
    </row>
  </sheetData>
  <phoneticPr fontId="2" type="noConversion"/>
  <hyperlinks>
    <hyperlink ref="D8" r:id="rId1"/>
    <hyperlink ref="D9" r:id="rId2"/>
    <hyperlink ref="D10" r:id="rId3"/>
    <hyperlink ref="D11" r:id="rId4"/>
    <hyperlink ref="D12" r:id="rId5"/>
    <hyperlink ref="D13" r:id="rId6"/>
    <hyperlink ref="D14" r:id="rId7"/>
  </hyperlinks>
  <pageMargins left="0.75" right="0.75" top="1" bottom="1" header="0.5" footer="0.5"/>
  <pageSetup paperSize="9" orientation="portrait" r:id="rId8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33"/>
  <sheetViews>
    <sheetView topLeftCell="A13" workbookViewId="0">
      <selection activeCell="B31" sqref="B31"/>
    </sheetView>
  </sheetViews>
  <sheetFormatPr defaultRowHeight="12.75" x14ac:dyDescent="0.2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 x14ac:dyDescent="0.25">
      <c r="A1" s="162" t="s">
        <v>104</v>
      </c>
      <c r="B1" s="163"/>
    </row>
    <row r="2" spans="1:3" ht="15" x14ac:dyDescent="0.25">
      <c r="A2" s="164" t="s">
        <v>105</v>
      </c>
      <c r="B2" s="165">
        <f>COUNTIF(Sprint!$A$4:$A$95, "Feature")</f>
        <v>9</v>
      </c>
      <c r="C2" s="171">
        <f>B2/$B$6</f>
        <v>0.32142857142857145</v>
      </c>
    </row>
    <row r="3" spans="1:3" ht="15" x14ac:dyDescent="0.25">
      <c r="A3" s="164" t="s">
        <v>106</v>
      </c>
      <c r="B3" s="165">
        <f>COUNTIF(Sprint!$A$4:$A$95, "Tax")</f>
        <v>0</v>
      </c>
      <c r="C3" s="171">
        <f t="shared" ref="C3:C5" si="0">B3/$B$6</f>
        <v>0</v>
      </c>
    </row>
    <row r="4" spans="1:3" ht="15" x14ac:dyDescent="0.25">
      <c r="A4" s="164" t="s">
        <v>107</v>
      </c>
      <c r="B4" s="165">
        <f>COUNTIF(Sprint!$A$4:$A$95, "Precondition")</f>
        <v>13</v>
      </c>
      <c r="C4" s="171">
        <f t="shared" si="0"/>
        <v>0.4642857142857143</v>
      </c>
    </row>
    <row r="5" spans="1:3" ht="15" x14ac:dyDescent="0.25">
      <c r="A5" s="164" t="s">
        <v>108</v>
      </c>
      <c r="B5" s="165">
        <f>COUNTIF(Sprint!$A$4:$A$95, "Spike")</f>
        <v>6</v>
      </c>
      <c r="C5" s="171">
        <f t="shared" si="0"/>
        <v>0.21428571428571427</v>
      </c>
    </row>
    <row r="6" spans="1:3" ht="15" x14ac:dyDescent="0.25">
      <c r="A6" s="166" t="s">
        <v>128</v>
      </c>
      <c r="B6" s="172">
        <f>SUM(B2:B5)</f>
        <v>28</v>
      </c>
      <c r="C6" s="173">
        <f>SUM(C2:C5)</f>
        <v>1</v>
      </c>
    </row>
    <row r="7" spans="1:3" ht="15" x14ac:dyDescent="0.25">
      <c r="A7" s="165"/>
      <c r="B7" s="165"/>
    </row>
    <row r="8" spans="1:3" ht="15" x14ac:dyDescent="0.25">
      <c r="A8" s="166" t="s">
        <v>109</v>
      </c>
      <c r="B8" s="165"/>
    </row>
    <row r="9" spans="1:3" ht="15" x14ac:dyDescent="0.25">
      <c r="A9" s="164" t="s">
        <v>110</v>
      </c>
      <c r="B9" s="165">
        <f>COUNTIF(Sprint!$B$4:$B$212, "Data Model")</f>
        <v>0</v>
      </c>
      <c r="C9" s="171">
        <f>B9/$B$25</f>
        <v>0</v>
      </c>
    </row>
    <row r="10" spans="1:3" ht="15" x14ac:dyDescent="0.25">
      <c r="A10" s="164" t="s">
        <v>111</v>
      </c>
      <c r="B10" s="165">
        <f>COUNTIF(Sprint!$B$4:$B$212, "Integration Model")</f>
        <v>0</v>
      </c>
      <c r="C10" s="171">
        <f>B10/$B$25</f>
        <v>0</v>
      </c>
    </row>
    <row r="11" spans="1:3" ht="15" x14ac:dyDescent="0.25">
      <c r="A11" s="164" t="s">
        <v>112</v>
      </c>
      <c r="B11" s="165">
        <f>COUNTIF(Sprint!$B$4:$B$212, "System Frameworks")</f>
        <v>0</v>
      </c>
      <c r="C11" s="171">
        <f>B11/$B$25</f>
        <v>0</v>
      </c>
    </row>
    <row r="12" spans="1:3" ht="15" x14ac:dyDescent="0.25">
      <c r="A12" s="164" t="s">
        <v>113</v>
      </c>
      <c r="B12" s="165">
        <f>COUNTIF(Sprint!$B$4:$B$212, "Data Conversions")</f>
        <v>1</v>
      </c>
      <c r="C12" s="171">
        <f t="shared" ref="C12:C24" si="1">B12/$B$25</f>
        <v>3.5714285714285712E-2</v>
      </c>
    </row>
    <row r="13" spans="1:3" ht="15" x14ac:dyDescent="0.25">
      <c r="A13" s="164" t="s">
        <v>114</v>
      </c>
      <c r="B13" s="165">
        <f>COUNTIF(Sprint!$B$4:$B$212, "Security")</f>
        <v>0</v>
      </c>
      <c r="C13" s="171">
        <f t="shared" si="1"/>
        <v>0</v>
      </c>
    </row>
    <row r="14" spans="1:3" ht="15" x14ac:dyDescent="0.25">
      <c r="A14" s="164" t="s">
        <v>115</v>
      </c>
      <c r="B14" s="165">
        <f>COUNTIF(Sprint!$B$4:$B$212, "Cash Payment Tracking")</f>
        <v>0</v>
      </c>
      <c r="C14" s="171">
        <f t="shared" si="1"/>
        <v>0</v>
      </c>
    </row>
    <row r="15" spans="1:3" ht="15" x14ac:dyDescent="0.25">
      <c r="A15" s="164" t="s">
        <v>116</v>
      </c>
      <c r="B15" s="165">
        <f>COUNTIF(Sprint!$B$4:$B$212, "Views")</f>
        <v>0</v>
      </c>
      <c r="C15" s="171">
        <f t="shared" si="1"/>
        <v>0</v>
      </c>
    </row>
    <row r="16" spans="1:3" ht="15" x14ac:dyDescent="0.25">
      <c r="A16" s="164" t="s">
        <v>117</v>
      </c>
      <c r="B16" s="165">
        <f>COUNTIF(Sprint!$B$4:$B$212, "Lookups")</f>
        <v>3</v>
      </c>
      <c r="C16" s="171">
        <f t="shared" si="1"/>
        <v>0.10714285714285714</v>
      </c>
    </row>
    <row r="17" spans="1:3" ht="15" x14ac:dyDescent="0.25">
      <c r="A17" s="164" t="s">
        <v>118</v>
      </c>
      <c r="B17" s="165">
        <f>COUNTIF(Sprint!$B$4:$B$212, "Detail screens")</f>
        <v>0</v>
      </c>
      <c r="C17" s="171">
        <f t="shared" si="1"/>
        <v>0</v>
      </c>
    </row>
    <row r="18" spans="1:3" ht="15" x14ac:dyDescent="0.25">
      <c r="A18" s="164" t="s">
        <v>119</v>
      </c>
      <c r="B18" s="165">
        <f>COUNTIF(Sprint!$B$4:$B$212, "Notifications")</f>
        <v>0</v>
      </c>
      <c r="C18" s="171">
        <f t="shared" si="1"/>
        <v>0</v>
      </c>
    </row>
    <row r="19" spans="1:3" ht="15" x14ac:dyDescent="0.25">
      <c r="A19" s="164" t="s">
        <v>120</v>
      </c>
      <c r="B19" s="165">
        <f>COUNTIF(Sprint!$B$4:$B$212, "Reports")</f>
        <v>0</v>
      </c>
      <c r="C19" s="171">
        <f t="shared" si="1"/>
        <v>0</v>
      </c>
    </row>
    <row r="20" spans="1:3" ht="15" x14ac:dyDescent="0.25">
      <c r="A20" s="164" t="s">
        <v>121</v>
      </c>
      <c r="B20" s="165">
        <f>COUNTIF(Sprint!$B$4:$B$212, "Installation Package")</f>
        <v>0</v>
      </c>
      <c r="C20" s="171">
        <f t="shared" si="1"/>
        <v>0</v>
      </c>
    </row>
    <row r="21" spans="1:3" ht="15" x14ac:dyDescent="0.25">
      <c r="A21" s="164" t="s">
        <v>122</v>
      </c>
      <c r="B21" s="165">
        <f>COUNTIF(Sprint!$B$4:$B$212, "Deployment")</f>
        <v>14</v>
      </c>
      <c r="C21" s="171">
        <f t="shared" si="1"/>
        <v>0.5</v>
      </c>
    </row>
    <row r="22" spans="1:3" ht="15" x14ac:dyDescent="0.25">
      <c r="A22" s="164" t="s">
        <v>123</v>
      </c>
      <c r="B22" s="165">
        <f>COUNTIF(Sprint!$B$4:$B$212, "Documentation")</f>
        <v>4</v>
      </c>
      <c r="C22" s="171">
        <f t="shared" si="1"/>
        <v>0.14285714285714285</v>
      </c>
    </row>
    <row r="23" spans="1:3" ht="15" x14ac:dyDescent="0.25">
      <c r="A23" s="164" t="s">
        <v>124</v>
      </c>
      <c r="B23" s="165">
        <f>COUNTIF(Sprint!$B$4:$B$212, "Testing")</f>
        <v>6</v>
      </c>
      <c r="C23" s="171">
        <f t="shared" si="1"/>
        <v>0.21428571428571427</v>
      </c>
    </row>
    <row r="24" spans="1:3" ht="15" x14ac:dyDescent="0.25">
      <c r="A24" s="164" t="s">
        <v>125</v>
      </c>
      <c r="B24" s="165">
        <f>COUNTIF(Sprint!$B$4:$B$212, "Project Mgt")</f>
        <v>0</v>
      </c>
      <c r="C24" s="171">
        <f t="shared" si="1"/>
        <v>0</v>
      </c>
    </row>
    <row r="25" spans="1:3" ht="15" x14ac:dyDescent="0.25">
      <c r="A25" s="166" t="s">
        <v>128</v>
      </c>
      <c r="B25" s="170">
        <f>SUM(B9:B24)</f>
        <v>28</v>
      </c>
      <c r="C25" s="171">
        <f>SUM(C9:C24)</f>
        <v>0.99999999999999989</v>
      </c>
    </row>
    <row r="27" spans="1:3" ht="15" x14ac:dyDescent="0.25">
      <c r="A27" s="169" t="s">
        <v>127</v>
      </c>
    </row>
    <row r="28" spans="1:3" ht="15" x14ac:dyDescent="0.25">
      <c r="A28" s="164" t="s">
        <v>129</v>
      </c>
      <c r="B28" s="165">
        <f ca="1">COUNTIF(Sprint!$G$4:$G$95, "Complete")</f>
        <v>0</v>
      </c>
      <c r="C28" s="171" t="e">
        <f ca="1">B28/$B$33</f>
        <v>#DIV/0!</v>
      </c>
    </row>
    <row r="29" spans="1:3" ht="15" x14ac:dyDescent="0.25">
      <c r="A29" s="164" t="s">
        <v>130</v>
      </c>
      <c r="B29" s="165">
        <f ca="1">COUNTIF(Sprint!$G$4:$G$95, "In Progress")</f>
        <v>0</v>
      </c>
      <c r="C29" s="171" t="e">
        <f t="shared" ref="C29:C32" ca="1" si="2">B29/$B$33</f>
        <v>#DIV/0!</v>
      </c>
    </row>
    <row r="30" spans="1:3" ht="15" x14ac:dyDescent="0.25">
      <c r="A30" s="164" t="s">
        <v>131</v>
      </c>
      <c r="B30" s="165">
        <f ca="1">COUNTIF(Sprint!$G$4:$G$95, "Pending")</f>
        <v>0</v>
      </c>
      <c r="C30" s="171" t="e">
        <f t="shared" ca="1" si="2"/>
        <v>#DIV/0!</v>
      </c>
    </row>
    <row r="31" spans="1:3" ht="15" x14ac:dyDescent="0.25">
      <c r="A31" s="164" t="s">
        <v>126</v>
      </c>
      <c r="B31" s="165">
        <f ca="1">COUNTIF(Sprint!$G$4:$G$95, "Postponed")</f>
        <v>0</v>
      </c>
      <c r="C31" s="171" t="e">
        <f t="shared" ca="1" si="2"/>
        <v>#DIV/0!</v>
      </c>
    </row>
    <row r="32" spans="1:3" ht="15" x14ac:dyDescent="0.25">
      <c r="A32" s="169" t="s">
        <v>132</v>
      </c>
      <c r="B32" s="165">
        <f ca="1">COUNTIF(Sprint!$G$4:$G$95, "Cancelled")</f>
        <v>0</v>
      </c>
      <c r="C32" s="171" t="e">
        <f t="shared" ca="1" si="2"/>
        <v>#DIV/0!</v>
      </c>
    </row>
    <row r="33" spans="1:3" ht="15" x14ac:dyDescent="0.25">
      <c r="A33" s="174" t="s">
        <v>128</v>
      </c>
      <c r="B33" s="175">
        <f ca="1">SUM(B28:B32)</f>
        <v>0</v>
      </c>
      <c r="C33" s="17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  <vt:lpstr>Capacity!Область_печати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Anastasia</cp:lastModifiedBy>
  <cp:revision>1</cp:revision>
  <cp:lastPrinted>2005-08-15T09:18:22Z</cp:lastPrinted>
  <dcterms:created xsi:type="dcterms:W3CDTF">2005-01-26T21:50:47Z</dcterms:created>
  <dcterms:modified xsi:type="dcterms:W3CDTF">2016-12-24T09:57:44Z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  <property fmtid="{D5CDD505-2E9C-101B-9397-08002B2CF9AE}" pid="5" name="WorkbookGuid">
    <vt:lpwstr>b67c9da1-9267-483c-b360-44df572f671f</vt:lpwstr>
  </property>
</Properties>
</file>