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Sprint!$C$3:$CE$69</definedName>
    <definedName name="Burndown" localSheetId="1">Sprint!$J$4:$CD$70</definedName>
    <definedName name="Burndown">Sprint!$J$4:$CD$70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Sprint!$CE$4:$CE$70</definedName>
    <definedName name="TotalEffort">Sprint!$CE$4:$CE$70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E20" i="8" l="1"/>
  <c r="J1" i="7"/>
  <c r="BA16" i="7" l="1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N16" i="7" l="1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O16" i="7" l="1"/>
  <c r="O17" i="7"/>
  <c r="O18" i="7"/>
  <c r="O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Q23" i="7" s="1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L10" i="7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L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9" i="7"/>
  <c r="BD69" i="7" s="1"/>
  <c r="BG69" i="7" s="1"/>
  <c r="BJ69" i="7" s="1"/>
  <c r="BM69" i="7" s="1"/>
  <c r="BP69" i="7" s="1"/>
  <c r="BS69" i="7" s="1"/>
  <c r="BV69" i="7" s="1"/>
  <c r="BY69" i="7" s="1"/>
  <c r="CB69" i="7" s="1"/>
  <c r="K69" i="7"/>
  <c r="L69" i="7" s="1"/>
  <c r="R16" i="7" l="1"/>
  <c r="R17" i="7"/>
  <c r="R18" i="7"/>
  <c r="R19" i="7"/>
  <c r="O21" i="7"/>
  <c r="R21" i="7" s="1"/>
  <c r="O20" i="7"/>
  <c r="O22" i="7"/>
  <c r="O23" i="7"/>
  <c r="O10" i="7"/>
  <c r="L13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L33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14" i="7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1" i="7"/>
  <c r="N53" i="7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Q68" i="7" s="1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N69" i="7"/>
  <c r="R51" i="7" l="1"/>
  <c r="U51" i="7" s="1"/>
  <c r="R22" i="7"/>
  <c r="U22" i="7" s="1"/>
  <c r="R20" i="7"/>
  <c r="O33" i="7"/>
  <c r="U16" i="7"/>
  <c r="X16" i="7" s="1"/>
  <c r="U17" i="7"/>
  <c r="X17" i="7" s="1"/>
  <c r="AA17" i="7" s="1"/>
  <c r="U18" i="7"/>
  <c r="U19" i="7"/>
  <c r="X19" i="7" s="1"/>
  <c r="U20" i="7"/>
  <c r="U21" i="7"/>
  <c r="R23" i="7"/>
  <c r="U23" i="7" s="1"/>
  <c r="X23" i="7" s="1"/>
  <c r="R10" i="7"/>
  <c r="U10" i="7" s="1"/>
  <c r="X10" i="7" s="1"/>
  <c r="O68" i="7"/>
  <c r="R68" i="7" s="1"/>
  <c r="O52" i="7"/>
  <c r="R52" i="7" s="1"/>
  <c r="U52" i="7" s="1"/>
  <c r="X51" i="7"/>
  <c r="Q55" i="7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O5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6" i="7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O26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14" i="7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O14" i="7"/>
  <c r="O67" i="7"/>
  <c r="O65" i="7"/>
  <c r="O63" i="7"/>
  <c r="R63" i="7" s="1"/>
  <c r="U63" i="7" s="1"/>
  <c r="O61" i="7"/>
  <c r="R61" i="7" s="1"/>
  <c r="O59" i="7"/>
  <c r="R59" i="7" s="1"/>
  <c r="U59" i="7" s="1"/>
  <c r="O66" i="7"/>
  <c r="O64" i="7"/>
  <c r="R64" i="7" s="1"/>
  <c r="U64" i="7" s="1"/>
  <c r="O62" i="7"/>
  <c r="O60" i="7"/>
  <c r="R60" i="7" s="1"/>
  <c r="U60" i="7" s="1"/>
  <c r="O58" i="7"/>
  <c r="R58" i="7" s="1"/>
  <c r="AA51" i="7"/>
  <c r="O56" i="7"/>
  <c r="R56" i="7" s="1"/>
  <c r="O54" i="7"/>
  <c r="O50" i="7"/>
  <c r="R49" i="7"/>
  <c r="O48" i="7"/>
  <c r="R47" i="7"/>
  <c r="O46" i="7"/>
  <c r="O44" i="7"/>
  <c r="O42" i="7"/>
  <c r="R41" i="7"/>
  <c r="O40" i="7"/>
  <c r="R39" i="7"/>
  <c r="O38" i="7"/>
  <c r="O36" i="7"/>
  <c r="R36" i="7" s="1"/>
  <c r="U36" i="7" s="1"/>
  <c r="O34" i="7"/>
  <c r="O32" i="7"/>
  <c r="O7" i="7"/>
  <c r="R7" i="7" s="1"/>
  <c r="U7" i="7" s="1"/>
  <c r="O5" i="7"/>
  <c r="O30" i="7"/>
  <c r="R30" i="7" s="1"/>
  <c r="U30" i="7" s="1"/>
  <c r="O15" i="7"/>
  <c r="R15" i="7" s="1"/>
  <c r="O13" i="7"/>
  <c r="R13" i="7" s="1"/>
  <c r="O11" i="7"/>
  <c r="R11" i="7" s="1"/>
  <c r="O9" i="7"/>
  <c r="R9" i="7" s="1"/>
  <c r="O8" i="7"/>
  <c r="R8" i="7" s="1"/>
  <c r="U8" i="7" s="1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R62" i="7"/>
  <c r="R54" i="7"/>
  <c r="U54" i="7" s="1"/>
  <c r="R33" i="7"/>
  <c r="R32" i="7"/>
  <c r="O6" i="7"/>
  <c r="O28" i="7"/>
  <c r="O25" i="7"/>
  <c r="O12" i="7"/>
  <c r="Q69" i="7"/>
  <c r="T69" i="7" s="1"/>
  <c r="W69" i="7" s="1"/>
  <c r="Z69" i="7" s="1"/>
  <c r="AC69" i="7" s="1"/>
  <c r="AF69" i="7" s="1"/>
  <c r="AI69" i="7" s="1"/>
  <c r="AL69" i="7" s="1"/>
  <c r="AO69" i="7" s="1"/>
  <c r="AR69" i="7" s="1"/>
  <c r="AU69" i="7" s="1"/>
  <c r="AX69" i="7" s="1"/>
  <c r="O69" i="7"/>
  <c r="R31" i="7" l="1"/>
  <c r="R55" i="7"/>
  <c r="X52" i="7"/>
  <c r="AA52" i="7" s="1"/>
  <c r="R26" i="7"/>
  <c r="U26" i="7" s="1"/>
  <c r="R29" i="7"/>
  <c r="U29" i="7" s="1"/>
  <c r="AA16" i="7"/>
  <c r="AD16" i="7" s="1"/>
  <c r="AD17" i="7"/>
  <c r="X18" i="7"/>
  <c r="AA19" i="7"/>
  <c r="AD19" i="7" s="1"/>
  <c r="U61" i="7"/>
  <c r="R24" i="7"/>
  <c r="U24" i="7" s="1"/>
  <c r="R27" i="7"/>
  <c r="U27" i="7" s="1"/>
  <c r="R37" i="7"/>
  <c r="U39" i="7"/>
  <c r="X39" i="7" s="1"/>
  <c r="AA39" i="7" s="1"/>
  <c r="R45" i="7"/>
  <c r="R14" i="7"/>
  <c r="U14" i="7" s="1"/>
  <c r="X20" i="7"/>
  <c r="X21" i="7"/>
  <c r="AA21" i="7" s="1"/>
  <c r="X22" i="7"/>
  <c r="AA23" i="7"/>
  <c r="AD23" i="7" s="1"/>
  <c r="AA10" i="7"/>
  <c r="AD10" i="7" s="1"/>
  <c r="X61" i="7"/>
  <c r="U68" i="7"/>
  <c r="R67" i="7"/>
  <c r="U67" i="7" s="1"/>
  <c r="R5" i="7"/>
  <c r="U5" i="7" s="1"/>
  <c r="R35" i="7"/>
  <c r="R43" i="7"/>
  <c r="R53" i="7"/>
  <c r="U53" i="7" s="1"/>
  <c r="R65" i="7"/>
  <c r="U15" i="7"/>
  <c r="U43" i="7"/>
  <c r="AD51" i="7"/>
  <c r="AG51" i="7" s="1"/>
  <c r="AD52" i="7"/>
  <c r="AG52" i="7" s="1"/>
  <c r="X53" i="7"/>
  <c r="U33" i="7"/>
  <c r="R12" i="7"/>
  <c r="U12" i="7" s="1"/>
  <c r="U13" i="7"/>
  <c r="X8" i="7"/>
  <c r="AA8" i="7" s="1"/>
  <c r="U11" i="7"/>
  <c r="X11" i="7" s="1"/>
  <c r="R28" i="7"/>
  <c r="U28" i="7" s="1"/>
  <c r="X30" i="7"/>
  <c r="AA30" i="7" s="1"/>
  <c r="R34" i="7"/>
  <c r="U37" i="7"/>
  <c r="R42" i="7"/>
  <c r="R44" i="7"/>
  <c r="R50" i="7"/>
  <c r="R57" i="7"/>
  <c r="X54" i="7"/>
  <c r="AA54" i="7" s="1"/>
  <c r="U45" i="7"/>
  <c r="U47" i="7"/>
  <c r="U49" i="7"/>
  <c r="U55" i="7"/>
  <c r="R66" i="7"/>
  <c r="X68" i="7"/>
  <c r="AA68" i="7" s="1"/>
  <c r="U9" i="7"/>
  <c r="X9" i="7" s="1"/>
  <c r="AA9" i="7" s="1"/>
  <c r="U35" i="7"/>
  <c r="R40" i="7"/>
  <c r="R46" i="7"/>
  <c r="U56" i="7"/>
  <c r="U58" i="7"/>
  <c r="X59" i="7"/>
  <c r="U62" i="7"/>
  <c r="X63" i="7"/>
  <c r="X7" i="7"/>
  <c r="AA7" i="7" s="1"/>
  <c r="R6" i="7"/>
  <c r="R25" i="7"/>
  <c r="U32" i="7"/>
  <c r="X33" i="7"/>
  <c r="X36" i="7"/>
  <c r="R38" i="7"/>
  <c r="U41" i="7"/>
  <c r="R48" i="7"/>
  <c r="X56" i="7"/>
  <c r="X60" i="7"/>
  <c r="AA61" i="7"/>
  <c r="X64" i="7"/>
  <c r="U31" i="7"/>
  <c r="R69" i="7"/>
  <c r="U69" i="7" s="1"/>
  <c r="X69" i="7" s="1"/>
  <c r="AA69" i="7" s="1"/>
  <c r="X24" i="7" l="1"/>
  <c r="AA24" i="7" s="1"/>
  <c r="AD24" i="7" s="1"/>
  <c r="AG24" i="7" s="1"/>
  <c r="AG16" i="7"/>
  <c r="AG19" i="7"/>
  <c r="AJ16" i="7"/>
  <c r="AM16" i="7" s="1"/>
  <c r="AP16" i="7" s="1"/>
  <c r="AG17" i="7"/>
  <c r="AA18" i="7"/>
  <c r="AA11" i="7"/>
  <c r="AD11" i="7" s="1"/>
  <c r="AG11" i="7" s="1"/>
  <c r="AA20" i="7"/>
  <c r="AD20" i="7" s="1"/>
  <c r="AG20" i="7" s="1"/>
  <c r="AD21" i="7"/>
  <c r="AA22" i="7"/>
  <c r="AD22" i="7" s="1"/>
  <c r="AG23" i="7"/>
  <c r="AG10" i="7"/>
  <c r="X67" i="7"/>
  <c r="AA67" i="7" s="1"/>
  <c r="X43" i="7"/>
  <c r="AA43" i="7" s="1"/>
  <c r="AD43" i="7" s="1"/>
  <c r="U65" i="7"/>
  <c r="AA53" i="7"/>
  <c r="AD53" i="7" s="1"/>
  <c r="X5" i="7"/>
  <c r="AA5" i="7" s="1"/>
  <c r="X29" i="7"/>
  <c r="AA29" i="7" s="1"/>
  <c r="X14" i="7"/>
  <c r="AA14" i="7" s="1"/>
  <c r="X12" i="7"/>
  <c r="AA12" i="7" s="1"/>
  <c r="X15" i="7"/>
  <c r="AA15" i="7" s="1"/>
  <c r="AD68" i="7"/>
  <c r="AG68" i="7" s="1"/>
  <c r="X31" i="7"/>
  <c r="X27" i="7"/>
  <c r="AA27" i="7" s="1"/>
  <c r="U38" i="7"/>
  <c r="U40" i="7"/>
  <c r="X40" i="7" s="1"/>
  <c r="AD9" i="7"/>
  <c r="X55" i="7"/>
  <c r="X47" i="7"/>
  <c r="AA47" i="7" s="1"/>
  <c r="AD54" i="7"/>
  <c r="AG54" i="7" s="1"/>
  <c r="U50" i="7"/>
  <c r="U44" i="7"/>
  <c r="X44" i="7" s="1"/>
  <c r="X37" i="7"/>
  <c r="U34" i="7"/>
  <c r="AD8" i="7"/>
  <c r="AA56" i="7"/>
  <c r="AD56" i="7" s="1"/>
  <c r="AA36" i="7"/>
  <c r="U6" i="7"/>
  <c r="AD36" i="7"/>
  <c r="X28" i="7"/>
  <c r="AA28" i="7" s="1"/>
  <c r="AG8" i="7"/>
  <c r="AA63" i="7"/>
  <c r="AD63" i="7" s="1"/>
  <c r="AA59" i="7"/>
  <c r="AD59" i="7" s="1"/>
  <c r="AA64" i="7"/>
  <c r="AA60" i="7"/>
  <c r="X26" i="7"/>
  <c r="AJ52" i="7"/>
  <c r="AM52" i="7" s="1"/>
  <c r="AP52" i="7" s="1"/>
  <c r="U48" i="7"/>
  <c r="X41" i="7"/>
  <c r="AA41" i="7" s="1"/>
  <c r="X32" i="7"/>
  <c r="AD7" i="7"/>
  <c r="AG7" i="7" s="1"/>
  <c r="U46" i="7"/>
  <c r="X46" i="7" s="1"/>
  <c r="X35" i="7"/>
  <c r="AA35" i="7" s="1"/>
  <c r="U66" i="7"/>
  <c r="X49" i="7"/>
  <c r="X45" i="7"/>
  <c r="AA45" i="7" s="1"/>
  <c r="U57" i="7"/>
  <c r="U42" i="7"/>
  <c r="X13" i="7"/>
  <c r="AD39" i="7"/>
  <c r="AG36" i="7"/>
  <c r="AD30" i="7"/>
  <c r="AA31" i="7"/>
  <c r="X66" i="7"/>
  <c r="X62" i="7"/>
  <c r="X58" i="7"/>
  <c r="AD61" i="7"/>
  <c r="U25" i="7"/>
  <c r="AA33" i="7"/>
  <c r="AJ51" i="7"/>
  <c r="AD69" i="7"/>
  <c r="AD29" i="7" l="1"/>
  <c r="AJ24" i="7"/>
  <c r="AM24" i="7" s="1"/>
  <c r="AJ11" i="7"/>
  <c r="AM11" i="7" s="1"/>
  <c r="AP11" i="7" s="1"/>
  <c r="AJ10" i="7"/>
  <c r="AM10" i="7" s="1"/>
  <c r="AJ7" i="7"/>
  <c r="AM7" i="7" s="1"/>
  <c r="AJ17" i="7"/>
  <c r="AM17" i="7" s="1"/>
  <c r="AJ20" i="7"/>
  <c r="AM20" i="7" s="1"/>
  <c r="AJ19" i="7"/>
  <c r="AM19" i="7" s="1"/>
  <c r="AP19" i="7" s="1"/>
  <c r="AS19" i="7" s="1"/>
  <c r="AV19" i="7" s="1"/>
  <c r="AY19" i="7" s="1"/>
  <c r="AS16" i="7"/>
  <c r="AV16" i="7" s="1"/>
  <c r="AY16" i="7" s="1"/>
  <c r="G16" i="7" s="1"/>
  <c r="AD18" i="7"/>
  <c r="AD5" i="7"/>
  <c r="AG5" i="7" s="1"/>
  <c r="AG21" i="7"/>
  <c r="AG22" i="7"/>
  <c r="AJ23" i="7"/>
  <c r="AM23" i="7" s="1"/>
  <c r="AP23" i="7" s="1"/>
  <c r="AS23" i="7" s="1"/>
  <c r="AV23" i="7" s="1"/>
  <c r="AY23" i="7" s="1"/>
  <c r="G23" i="7" s="1"/>
  <c r="AG53" i="7"/>
  <c r="AJ53" i="7" s="1"/>
  <c r="AM53" i="7" s="1"/>
  <c r="AD15" i="7"/>
  <c r="AG15" i="7" s="1"/>
  <c r="AJ15" i="7" s="1"/>
  <c r="AG43" i="7"/>
  <c r="AJ43" i="7" s="1"/>
  <c r="X65" i="7"/>
  <c r="X38" i="7"/>
  <c r="AA38" i="7" s="1"/>
  <c r="AD67" i="7"/>
  <c r="AG67" i="7" s="1"/>
  <c r="AJ67" i="7" s="1"/>
  <c r="AD14" i="7"/>
  <c r="AG14" i="7" s="1"/>
  <c r="AS52" i="7"/>
  <c r="AV52" i="7" s="1"/>
  <c r="AY52" i="7" s="1"/>
  <c r="G52" i="7" s="1"/>
  <c r="AA13" i="7"/>
  <c r="AG59" i="7"/>
  <c r="AJ59" i="7" s="1"/>
  <c r="AD28" i="7"/>
  <c r="AJ8" i="7"/>
  <c r="AA44" i="7"/>
  <c r="AD44" i="7" s="1"/>
  <c r="AG44" i="7" s="1"/>
  <c r="AJ54" i="7"/>
  <c r="AD47" i="7"/>
  <c r="AG47" i="7" s="1"/>
  <c r="AJ47" i="7" s="1"/>
  <c r="AA55" i="7"/>
  <c r="AD55" i="7" s="1"/>
  <c r="AD41" i="7"/>
  <c r="X42" i="7"/>
  <c r="AA32" i="7"/>
  <c r="AD32" i="7" s="1"/>
  <c r="AJ36" i="7"/>
  <c r="AG29" i="7"/>
  <c r="AG30" i="7"/>
  <c r="AD33" i="7"/>
  <c r="AG39" i="7"/>
  <c r="X48" i="7"/>
  <c r="X34" i="7"/>
  <c r="X50" i="7"/>
  <c r="AA50" i="7" s="1"/>
  <c r="AD50" i="7" s="1"/>
  <c r="AG9" i="7"/>
  <c r="AG56" i="7"/>
  <c r="X6" i="7"/>
  <c r="AA6" i="7" s="1"/>
  <c r="AD60" i="7"/>
  <c r="AG60" i="7" s="1"/>
  <c r="AG61" i="7"/>
  <c r="AD27" i="7"/>
  <c r="AJ68" i="7"/>
  <c r="AD45" i="7"/>
  <c r="AD35" i="7"/>
  <c r="AA46" i="7"/>
  <c r="AD46" i="7" s="1"/>
  <c r="AA26" i="7"/>
  <c r="AD26" i="7" s="1"/>
  <c r="AG63" i="7"/>
  <c r="AJ63" i="7" s="1"/>
  <c r="AA40" i="7"/>
  <c r="AD40" i="7" s="1"/>
  <c r="AM51" i="7"/>
  <c r="AP51" i="7" s="1"/>
  <c r="AD31" i="7"/>
  <c r="AG31" i="7" s="1"/>
  <c r="X57" i="7"/>
  <c r="AA66" i="7"/>
  <c r="AG33" i="7"/>
  <c r="AJ33" i="7" s="1"/>
  <c r="AD12" i="7"/>
  <c r="AA58" i="7"/>
  <c r="AA62" i="7"/>
  <c r="AA48" i="7"/>
  <c r="AD48" i="7" s="1"/>
  <c r="AA37" i="7"/>
  <c r="X25" i="7"/>
  <c r="AJ61" i="7"/>
  <c r="AM61" i="7" s="1"/>
  <c r="AP61" i="7" s="1"/>
  <c r="AS61" i="7" s="1"/>
  <c r="AV61" i="7" s="1"/>
  <c r="AY61" i="7" s="1"/>
  <c r="G61" i="7" s="1"/>
  <c r="AD64" i="7"/>
  <c r="AA49" i="7"/>
  <c r="AG69" i="7"/>
  <c r="CE19" i="7" l="1"/>
  <c r="G19" i="7"/>
  <c r="AP20" i="7"/>
  <c r="AS20" i="7" s="1"/>
  <c r="AV20" i="7" s="1"/>
  <c r="AY20" i="7" s="1"/>
  <c r="G20" i="7" s="1"/>
  <c r="AJ14" i="7"/>
  <c r="AM14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P17" i="7"/>
  <c r="AJ5" i="7"/>
  <c r="AM5" i="7" s="1"/>
  <c r="AJ22" i="7"/>
  <c r="AM22" i="7" s="1"/>
  <c r="AP22" i="7" s="1"/>
  <c r="AS22" i="7" s="1"/>
  <c r="AV22" i="7" s="1"/>
  <c r="AY22" i="7" s="1"/>
  <c r="G22" i="7" s="1"/>
  <c r="AJ21" i="7"/>
  <c r="AM21" i="7" s="1"/>
  <c r="AP21" i="7" s="1"/>
  <c r="AS21" i="7" s="1"/>
  <c r="AV21" i="7" s="1"/>
  <c r="AY21" i="7" s="1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16" i="7"/>
  <c r="AS17" i="7"/>
  <c r="AV17" i="7" s="1"/>
  <c r="AY17" i="7" s="1"/>
  <c r="G17" i="7" s="1"/>
  <c r="AG18" i="7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AP10" i="7"/>
  <c r="AS10" i="7" s="1"/>
  <c r="AV10" i="7" s="1"/>
  <c r="AY10" i="7" s="1"/>
  <c r="G10" i="7" s="1"/>
  <c r="AG40" i="7"/>
  <c r="AJ40" i="7" s="1"/>
  <c r="AA65" i="7"/>
  <c r="AD65" i="7" s="1"/>
  <c r="AS11" i="7"/>
  <c r="AV11" i="7" s="1"/>
  <c r="AY11" i="7" s="1"/>
  <c r="G11" i="7" s="1"/>
  <c r="AM47" i="7"/>
  <c r="AP47" i="7" s="1"/>
  <c r="AS47" i="7" s="1"/>
  <c r="AV47" i="7" s="1"/>
  <c r="AY47" i="7" s="1"/>
  <c r="G47" i="7" s="1"/>
  <c r="AM63" i="7"/>
  <c r="AP63" i="7" s="1"/>
  <c r="AS63" i="7" s="1"/>
  <c r="AV63" i="7" s="1"/>
  <c r="AY63" i="7" s="1"/>
  <c r="G63" i="7" s="1"/>
  <c r="BB61" i="7"/>
  <c r="BE61" i="7" s="1"/>
  <c r="BH61" i="7" s="1"/>
  <c r="CE61" i="7"/>
  <c r="CE52" i="7"/>
  <c r="BE52" i="7"/>
  <c r="BB52" i="7"/>
  <c r="BW52" i="7"/>
  <c r="BZ52" i="7" s="1"/>
  <c r="CC52" i="7"/>
  <c r="AP53" i="7"/>
  <c r="AS53" i="7" s="1"/>
  <c r="AV53" i="7" s="1"/>
  <c r="AY53" i="7" s="1"/>
  <c r="G53" i="7" s="1"/>
  <c r="AG26" i="7"/>
  <c r="AJ26" i="7" s="1"/>
  <c r="AM43" i="7"/>
  <c r="AP43" i="7" s="1"/>
  <c r="AJ56" i="7"/>
  <c r="AM56" i="7" s="1"/>
  <c r="AP56" i="7" s="1"/>
  <c r="AS56" i="7" s="1"/>
  <c r="AV56" i="7" s="1"/>
  <c r="AY56" i="7" s="1"/>
  <c r="AJ9" i="7"/>
  <c r="AM9" i="7" s="1"/>
  <c r="AP9" i="7" s="1"/>
  <c r="AS9" i="7" s="1"/>
  <c r="AV9" i="7" s="1"/>
  <c r="AY9" i="7" s="1"/>
  <c r="CE9" i="7" s="1"/>
  <c r="AJ39" i="7"/>
  <c r="AM39" i="7" s="1"/>
  <c r="AP39" i="7" s="1"/>
  <c r="AS39" i="7" s="1"/>
  <c r="AV39" i="7" s="1"/>
  <c r="AY39" i="7" s="1"/>
  <c r="G39" i="7" s="1"/>
  <c r="AA25" i="7"/>
  <c r="AD25" i="7" s="1"/>
  <c r="AG25" i="7" s="1"/>
  <c r="AP24" i="7"/>
  <c r="AS24" i="7" s="1"/>
  <c r="AV24" i="7" s="1"/>
  <c r="AY24" i="7" s="1"/>
  <c r="AD37" i="7"/>
  <c r="AG37" i="7" s="1"/>
  <c r="AJ37" i="7" s="1"/>
  <c r="AM37" i="7" s="1"/>
  <c r="AP37" i="7" s="1"/>
  <c r="AS37" i="7" s="1"/>
  <c r="AV37" i="7" s="1"/>
  <c r="AY37" i="7" s="1"/>
  <c r="G37" i="7" s="1"/>
  <c r="AD58" i="7"/>
  <c r="AG58" i="7" s="1"/>
  <c r="AJ58" i="7" s="1"/>
  <c r="AM58" i="7" s="1"/>
  <c r="AP58" i="7" s="1"/>
  <c r="AS58" i="7" s="1"/>
  <c r="AV58" i="7" s="1"/>
  <c r="AY58" i="7" s="1"/>
  <c r="G58" i="7" s="1"/>
  <c r="AJ31" i="7"/>
  <c r="AG64" i="7"/>
  <c r="AJ64" i="7" s="1"/>
  <c r="AM64" i="7" s="1"/>
  <c r="AP64" i="7" s="1"/>
  <c r="AS64" i="7" s="1"/>
  <c r="AV64" i="7" s="1"/>
  <c r="AY64" i="7" s="1"/>
  <c r="G64" i="7" s="1"/>
  <c r="CC61" i="7"/>
  <c r="AG48" i="7"/>
  <c r="AJ48" i="7" s="1"/>
  <c r="AM48" i="7" s="1"/>
  <c r="AP48" i="7" s="1"/>
  <c r="AG46" i="7"/>
  <c r="AD62" i="7"/>
  <c r="AG62" i="7" s="1"/>
  <c r="AJ62" i="7" s="1"/>
  <c r="AM62" i="7" s="1"/>
  <c r="AP62" i="7" s="1"/>
  <c r="AS62" i="7" s="1"/>
  <c r="AV62" i="7" s="1"/>
  <c r="AY62" i="7" s="1"/>
  <c r="AS51" i="7"/>
  <c r="AV51" i="7" s="1"/>
  <c r="AY51" i="7" s="1"/>
  <c r="G51" i="7" s="1"/>
  <c r="AP7" i="7"/>
  <c r="AS7" i="7" s="1"/>
  <c r="AV7" i="7" s="1"/>
  <c r="AY7" i="7" s="1"/>
  <c r="AD38" i="7"/>
  <c r="AM68" i="7"/>
  <c r="AG27" i="7"/>
  <c r="AJ60" i="7"/>
  <c r="AM60" i="7" s="1"/>
  <c r="AP60" i="7" s="1"/>
  <c r="AS60" i="7" s="1"/>
  <c r="AV60" i="7" s="1"/>
  <c r="AY60" i="7" s="1"/>
  <c r="G60" i="7" s="1"/>
  <c r="AD6" i="7"/>
  <c r="AG6" i="7" s="1"/>
  <c r="AM36" i="7"/>
  <c r="AP36" i="7" s="1"/>
  <c r="AG41" i="7"/>
  <c r="AG55" i="7"/>
  <c r="AM54" i="7"/>
  <c r="AM8" i="7"/>
  <c r="AG28" i="7"/>
  <c r="AM15" i="7"/>
  <c r="AG12" i="7"/>
  <c r="AJ12" i="7" s="1"/>
  <c r="AM12" i="7" s="1"/>
  <c r="AP12" i="7" s="1"/>
  <c r="AS12" i="7" s="1"/>
  <c r="AV12" i="7" s="1"/>
  <c r="AY12" i="7" s="1"/>
  <c r="G12" i="7" s="1"/>
  <c r="AD49" i="7"/>
  <c r="AG49" i="7" s="1"/>
  <c r="AJ49" i="7" s="1"/>
  <c r="AM49" i="7" s="1"/>
  <c r="AP49" i="7" s="1"/>
  <c r="AS49" i="7" s="1"/>
  <c r="AG45" i="7"/>
  <c r="AJ45" i="7" s="1"/>
  <c r="AM45" i="7" s="1"/>
  <c r="AP45" i="7" s="1"/>
  <c r="BK61" i="7"/>
  <c r="BN61" i="7" s="1"/>
  <c r="BQ61" i="7" s="1"/>
  <c r="BT61" i="7" s="1"/>
  <c r="BW61" i="7" s="1"/>
  <c r="BZ61" i="7" s="1"/>
  <c r="AG50" i="7"/>
  <c r="AJ29" i="7"/>
  <c r="AM33" i="7"/>
  <c r="AP33" i="7" s="1"/>
  <c r="AS33" i="7" s="1"/>
  <c r="AG35" i="7"/>
  <c r="AJ44" i="7"/>
  <c r="AA34" i="7"/>
  <c r="AM59" i="7"/>
  <c r="AM67" i="7"/>
  <c r="AP67" i="7" s="1"/>
  <c r="AS67" i="7" s="1"/>
  <c r="AV67" i="7" s="1"/>
  <c r="AY67" i="7" s="1"/>
  <c r="BH52" i="7"/>
  <c r="BK52" i="7" s="1"/>
  <c r="BN52" i="7" s="1"/>
  <c r="BQ52" i="7" s="1"/>
  <c r="BT52" i="7" s="1"/>
  <c r="AG32" i="7"/>
  <c r="AJ32" i="7" s="1"/>
  <c r="AM32" i="7" s="1"/>
  <c r="AP32" i="7" s="1"/>
  <c r="AS32" i="7" s="1"/>
  <c r="AD66" i="7"/>
  <c r="AA57" i="7"/>
  <c r="AA42" i="7"/>
  <c r="AD42" i="7" s="1"/>
  <c r="AD13" i="7"/>
  <c r="AJ30" i="7"/>
  <c r="AM30" i="7" s="1"/>
  <c r="AP30" i="7" s="1"/>
  <c r="AS30" i="7" s="1"/>
  <c r="AV30" i="7" s="1"/>
  <c r="AY30" i="7" s="1"/>
  <c r="G30" i="7" s="1"/>
  <c r="AJ69" i="7"/>
  <c r="CE21" i="7" l="1"/>
  <c r="G21" i="7"/>
  <c r="CE62" i="7"/>
  <c r="G62" i="7"/>
  <c r="CE67" i="7"/>
  <c r="G67" i="7"/>
  <c r="CE56" i="7"/>
  <c r="G56" i="7"/>
  <c r="CE22" i="7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CE7" i="7"/>
  <c r="G7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4" i="7"/>
  <c r="G24" i="7"/>
  <c r="AP8" i="7"/>
  <c r="AS8" i="7" s="1"/>
  <c r="AV8" i="7" s="1"/>
  <c r="AY8" i="7" s="1"/>
  <c r="G8" i="7" s="1"/>
  <c r="G9" i="7"/>
  <c r="AP14" i="7"/>
  <c r="AS14" i="7" s="1"/>
  <c r="AV14" i="7" s="1"/>
  <c r="AY14" i="7" s="1"/>
  <c r="G14" i="7" s="1"/>
  <c r="AP15" i="7"/>
  <c r="AS15" i="7" s="1"/>
  <c r="AV15" i="7" s="1"/>
  <c r="AY15" i="7" s="1"/>
  <c r="BT15" i="7" s="1"/>
  <c r="BW15" i="7" s="1"/>
  <c r="BZ15" i="7" s="1"/>
  <c r="CC15" i="7" s="1"/>
  <c r="AJ28" i="7"/>
  <c r="AM28" i="7" s="1"/>
  <c r="AP28" i="7" s="1"/>
  <c r="AS28" i="7" s="1"/>
  <c r="AV28" i="7" s="1"/>
  <c r="AY28" i="7" s="1"/>
  <c r="AJ25" i="7"/>
  <c r="AM25" i="7" s="1"/>
  <c r="AP25" i="7" s="1"/>
  <c r="AS25" i="7" s="1"/>
  <c r="AJ6" i="7"/>
  <c r="AM6" i="7" s="1"/>
  <c r="AP6" i="7" s="1"/>
  <c r="AS6" i="7" s="1"/>
  <c r="AV6" i="7" s="1"/>
  <c r="AY6" i="7" s="1"/>
  <c r="CE6" i="7" s="1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AJ18" i="7"/>
  <c r="AM18" i="7" s="1"/>
  <c r="AP18" i="7" s="1"/>
  <c r="AS18" i="7" s="1"/>
  <c r="AV18" i="7" s="1"/>
  <c r="AY18" i="7" s="1"/>
  <c r="CE18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AM40" i="7"/>
  <c r="AP40" i="7" s="1"/>
  <c r="CE10" i="7"/>
  <c r="BB10" i="7"/>
  <c r="BE10" i="7" s="1"/>
  <c r="BH10" i="7" s="1"/>
  <c r="BK10" i="7" s="1"/>
  <c r="BN10" i="7" s="1"/>
  <c r="BQ10" i="7" s="1"/>
  <c r="BT10" i="7" s="1"/>
  <c r="BW10" i="7" s="1"/>
  <c r="BZ10" i="7" s="1"/>
  <c r="CC10" i="7" s="1"/>
  <c r="AG65" i="7"/>
  <c r="AJ65" i="7" s="1"/>
  <c r="AM65" i="7" s="1"/>
  <c r="AP65" i="7" s="1"/>
  <c r="AS65" i="7" s="1"/>
  <c r="AV65" i="7" s="1"/>
  <c r="AY65" i="7" s="1"/>
  <c r="BT24" i="7"/>
  <c r="BW24" i="7" s="1"/>
  <c r="BZ24" i="7" s="1"/>
  <c r="CC24" i="7" s="1"/>
  <c r="AV33" i="7"/>
  <c r="AY33" i="7" s="1"/>
  <c r="BN24" i="7"/>
  <c r="BQ24" i="7" s="1"/>
  <c r="BB24" i="7"/>
  <c r="BE24" i="7" s="1"/>
  <c r="BH24" i="7" s="1"/>
  <c r="BK24" i="7" s="1"/>
  <c r="BB11" i="7"/>
  <c r="BE11" i="7"/>
  <c r="BH11" i="7" s="1"/>
  <c r="CC11" i="7"/>
  <c r="CE11" i="7"/>
  <c r="BK11" i="7"/>
  <c r="BN11" i="7" s="1"/>
  <c r="BQ11" i="7" s="1"/>
  <c r="BT11" i="7" s="1"/>
  <c r="BW11" i="7" s="1"/>
  <c r="BZ11" i="7" s="1"/>
  <c r="AS43" i="7"/>
  <c r="AV43" i="7" s="1"/>
  <c r="AY43" i="7" s="1"/>
  <c r="G43" i="7" s="1"/>
  <c r="AS36" i="7"/>
  <c r="AV36" i="7" s="1"/>
  <c r="AY36" i="7" s="1"/>
  <c r="G36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12" i="7"/>
  <c r="BE12" i="7" s="1"/>
  <c r="BH12" i="7" s="1"/>
  <c r="BK12" i="7" s="1"/>
  <c r="BN12" i="7" s="1"/>
  <c r="BQ12" i="7" s="1"/>
  <c r="BT12" i="7" s="1"/>
  <c r="BW12" i="7" s="1"/>
  <c r="BZ12" i="7" s="1"/>
  <c r="CC12" i="7" s="1"/>
  <c r="CE12" i="7"/>
  <c r="CE8" i="7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64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CE3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BB37" i="7"/>
  <c r="BE37" i="7" s="1"/>
  <c r="BH37" i="7" s="1"/>
  <c r="BK37" i="7" s="1"/>
  <c r="BN37" i="7" s="1"/>
  <c r="BQ37" i="7" s="1"/>
  <c r="CE3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47" i="7"/>
  <c r="CC9" i="7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AP68" i="7"/>
  <c r="AS68" i="7" s="1"/>
  <c r="AG38" i="7"/>
  <c r="AJ38" i="7" s="1"/>
  <c r="AM38" i="7" s="1"/>
  <c r="AP38" i="7" s="1"/>
  <c r="AM31" i="7"/>
  <c r="AP31" i="7" s="1"/>
  <c r="AS31" i="7" s="1"/>
  <c r="AV31" i="7" s="1"/>
  <c r="AY31" i="7" s="1"/>
  <c r="G31" i="7" s="1"/>
  <c r="BZ56" i="7"/>
  <c r="CC56" i="7" s="1"/>
  <c r="BB56" i="7"/>
  <c r="BE56" i="7" s="1"/>
  <c r="BH56" i="7" s="1"/>
  <c r="BK56" i="7" s="1"/>
  <c r="BN56" i="7" s="1"/>
  <c r="BQ56" i="7" s="1"/>
  <c r="BT56" i="7" s="1"/>
  <c r="BW56" i="7" s="1"/>
  <c r="AV32" i="7"/>
  <c r="AY32" i="7" s="1"/>
  <c r="G32" i="7" s="1"/>
  <c r="AV49" i="7"/>
  <c r="AY49" i="7" s="1"/>
  <c r="G49" i="7" s="1"/>
  <c r="AJ46" i="7"/>
  <c r="AM46" i="7" s="1"/>
  <c r="AP46" i="7" s="1"/>
  <c r="AS46" i="7" s="1"/>
  <c r="AV46" i="7" s="1"/>
  <c r="AY46" i="7" s="1"/>
  <c r="BB9" i="7"/>
  <c r="BE9" i="7" s="1"/>
  <c r="BH9" i="7" s="1"/>
  <c r="BK9" i="7" s="1"/>
  <c r="BN9" i="7" s="1"/>
  <c r="BQ9" i="7" s="1"/>
  <c r="BT9" i="7" s="1"/>
  <c r="BW9" i="7" s="1"/>
  <c r="BZ9" i="7" s="1"/>
  <c r="BT37" i="7"/>
  <c r="BW37" i="7" s="1"/>
  <c r="BZ37" i="7" s="1"/>
  <c r="CC37" i="7" s="1"/>
  <c r="AG13" i="7"/>
  <c r="AJ13" i="7" s="1"/>
  <c r="AM13" i="7" s="1"/>
  <c r="AG42" i="7"/>
  <c r="AJ42" i="7" s="1"/>
  <c r="AM42" i="7" s="1"/>
  <c r="AP42" i="7" s="1"/>
  <c r="AG66" i="7"/>
  <c r="AJ35" i="7"/>
  <c r="AM35" i="7" s="1"/>
  <c r="AP35" i="7" s="1"/>
  <c r="AS35" i="7" s="1"/>
  <c r="AV35" i="7" s="1"/>
  <c r="AY35" i="7" s="1"/>
  <c r="G35" i="7" s="1"/>
  <c r="AJ50" i="7"/>
  <c r="AM50" i="7" s="1"/>
  <c r="AP50" i="7" s="1"/>
  <c r="AS50" i="7" s="1"/>
  <c r="AS45" i="7"/>
  <c r="AV45" i="7" s="1"/>
  <c r="AY45" i="7" s="1"/>
  <c r="G45" i="7" s="1"/>
  <c r="BZ8" i="7"/>
  <c r="CC8" i="7" s="1"/>
  <c r="AJ41" i="7"/>
  <c r="AM41" i="7" s="1"/>
  <c r="AP41" i="7" s="1"/>
  <c r="AS41" i="7" s="1"/>
  <c r="AV41" i="7" s="1"/>
  <c r="AY41" i="7" s="1"/>
  <c r="G41" i="7" s="1"/>
  <c r="AJ27" i="7"/>
  <c r="AM27" i="7" s="1"/>
  <c r="AP27" i="7" s="1"/>
  <c r="AS27" i="7" s="1"/>
  <c r="AV27" i="7" s="1"/>
  <c r="AY27" i="7" s="1"/>
  <c r="G27" i="7" s="1"/>
  <c r="AD57" i="7"/>
  <c r="AG57" i="7" s="1"/>
  <c r="AJ57" i="7" s="1"/>
  <c r="AM57" i="7" s="1"/>
  <c r="AP57" i="7" s="1"/>
  <c r="AS57" i="7" s="1"/>
  <c r="AV57" i="7" s="1"/>
  <c r="AY57" i="7" s="1"/>
  <c r="G57" i="7" s="1"/>
  <c r="BB67" i="7"/>
  <c r="BE67" i="7" s="1"/>
  <c r="BH67" i="7" s="1"/>
  <c r="AP59" i="7"/>
  <c r="AS59" i="7" s="1"/>
  <c r="AV59" i="7" s="1"/>
  <c r="AY59" i="7" s="1"/>
  <c r="G59" i="7" s="1"/>
  <c r="AD34" i="7"/>
  <c r="AG34" i="7" s="1"/>
  <c r="AJ34" i="7" s="1"/>
  <c r="AM34" i="7" s="1"/>
  <c r="AP34" i="7" s="1"/>
  <c r="AS34" i="7" s="1"/>
  <c r="AV34" i="7" s="1"/>
  <c r="AY34" i="7" s="1"/>
  <c r="G34" i="7" s="1"/>
  <c r="AM44" i="7"/>
  <c r="AP44" i="7" s="1"/>
  <c r="AS44" i="7" s="1"/>
  <c r="AV44" i="7" s="1"/>
  <c r="AY44" i="7" s="1"/>
  <c r="G44" i="7" s="1"/>
  <c r="AP54" i="7"/>
  <c r="AS54" i="7" s="1"/>
  <c r="AV54" i="7" s="1"/>
  <c r="AY54" i="7" s="1"/>
  <c r="AJ55" i="7"/>
  <c r="AS48" i="7"/>
  <c r="AV48" i="7" s="1"/>
  <c r="AY48" i="7" s="1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AM26" i="7"/>
  <c r="AP26" i="7" s="1"/>
  <c r="AS26" i="7" s="1"/>
  <c r="AV26" i="7" s="1"/>
  <c r="AY26" i="7" s="1"/>
  <c r="G26" i="7" s="1"/>
  <c r="AP5" i="7"/>
  <c r="AS5" i="7" s="1"/>
  <c r="AV5" i="7" s="1"/>
  <c r="AY5" i="7" s="1"/>
  <c r="BK67" i="7"/>
  <c r="BN67" i="7" s="1"/>
  <c r="BQ67" i="7" s="1"/>
  <c r="BT67" i="7" s="1"/>
  <c r="BW67" i="7" s="1"/>
  <c r="BZ67" i="7" s="1"/>
  <c r="CC67" i="7" s="1"/>
  <c r="AM29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69" i="7"/>
  <c r="BT8" i="7" l="1"/>
  <c r="BW8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65" i="7"/>
  <c r="G65" i="7"/>
  <c r="CE54" i="7"/>
  <c r="G54" i="7"/>
  <c r="CE48" i="7"/>
  <c r="G48" i="7"/>
  <c r="CE46" i="7"/>
  <c r="G46" i="7"/>
  <c r="BN33" i="7"/>
  <c r="BQ33" i="7" s="1"/>
  <c r="BT33" i="7" s="1"/>
  <c r="BW33" i="7" s="1"/>
  <c r="BZ33" i="7" s="1"/>
  <c r="CC33" i="7" s="1"/>
  <c r="G33" i="7"/>
  <c r="G6" i="7"/>
  <c r="CE5" i="7"/>
  <c r="G5" i="7"/>
  <c r="G18" i="7"/>
  <c r="G15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G28" i="7"/>
  <c r="BB8" i="7"/>
  <c r="BE8" i="7" s="1"/>
  <c r="BH8" i="7" s="1"/>
  <c r="BK8" i="7" s="1"/>
  <c r="BN8" i="7" s="1"/>
  <c r="BQ8" i="7" s="1"/>
  <c r="AP13" i="7"/>
  <c r="AS13" i="7" s="1"/>
  <c r="AV13" i="7" s="1"/>
  <c r="CE14" i="7"/>
  <c r="CE15" i="7"/>
  <c r="BB15" i="7"/>
  <c r="BE15" i="7" s="1"/>
  <c r="BH15" i="7" s="1"/>
  <c r="BK15" i="7" s="1"/>
  <c r="BN15" i="7" s="1"/>
  <c r="BQ15" i="7" s="1"/>
  <c r="AP29" i="7"/>
  <c r="AS29" i="7" s="1"/>
  <c r="AV29" i="7" s="1"/>
  <c r="AY29" i="7" s="1"/>
  <c r="G29" i="7" s="1"/>
  <c r="CE28" i="7"/>
  <c r="BN28" i="7"/>
  <c r="BQ28" i="7" s="1"/>
  <c r="BT28" i="7" s="1"/>
  <c r="BW28" i="7" s="1"/>
  <c r="BZ28" i="7" s="1"/>
  <c r="CC28" i="7" s="1"/>
  <c r="BB28" i="7"/>
  <c r="BE28" i="7" s="1"/>
  <c r="BH28" i="7" s="1"/>
  <c r="BK28" i="7" s="1"/>
  <c r="AV25" i="7"/>
  <c r="AY25" i="7" s="1"/>
  <c r="G25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AS40" i="7"/>
  <c r="AV40" i="7" s="1"/>
  <c r="AY40" i="7" s="1"/>
  <c r="G40" i="7" s="1"/>
  <c r="BH49" i="7"/>
  <c r="BK49" i="7" s="1"/>
  <c r="BN49" i="7" s="1"/>
  <c r="BQ49" i="7" s="1"/>
  <c r="BT49" i="7" s="1"/>
  <c r="BW49" i="7"/>
  <c r="BZ49" i="7" s="1"/>
  <c r="CC49" i="7" s="1"/>
  <c r="CE36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BB54" i="7"/>
  <c r="BE54" i="7" s="1"/>
  <c r="BH54" i="7" s="1"/>
  <c r="BK54" i="7" s="1"/>
  <c r="BN54" i="7" s="1"/>
  <c r="BQ54" i="7" s="1"/>
  <c r="BZ54" i="7"/>
  <c r="CC54" i="7" s="1"/>
  <c r="BT54" i="7"/>
  <c r="BW54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AV68" i="7"/>
  <c r="BN45" i="7"/>
  <c r="BQ45" i="7" s="1"/>
  <c r="BT45" i="7" s="1"/>
  <c r="BW45" i="7" s="1"/>
  <c r="BZ45" i="7" s="1"/>
  <c r="CC45" i="7" s="1"/>
  <c r="BE45" i="7"/>
  <c r="BH45" i="7" s="1"/>
  <c r="BK45" i="7" s="1"/>
  <c r="AV50" i="7"/>
  <c r="AY50" i="7" s="1"/>
  <c r="G50" i="7" s="1"/>
  <c r="AS42" i="7"/>
  <c r="AV42" i="7" s="1"/>
  <c r="BN48" i="7"/>
  <c r="BQ48" i="7" s="1"/>
  <c r="BT48" i="7" s="1"/>
  <c r="BW48" i="7" s="1"/>
  <c r="BZ48" i="7" s="1"/>
  <c r="CC48" i="7" s="1"/>
  <c r="BQ31" i="7"/>
  <c r="BT31" i="7" s="1"/>
  <c r="BW31" i="7" s="1"/>
  <c r="BZ31" i="7" s="1"/>
  <c r="CC31" i="7" s="1"/>
  <c r="AS38" i="7"/>
  <c r="AV38" i="7" s="1"/>
  <c r="AY38" i="7" s="1"/>
  <c r="G38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CE44" i="7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45" i="7"/>
  <c r="BB45" i="7"/>
  <c r="CE33" i="7"/>
  <c r="BB33" i="7"/>
  <c r="BE33" i="7" s="1"/>
  <c r="BH33" i="7" s="1"/>
  <c r="BK33" i="7" s="1"/>
  <c r="CE31" i="7"/>
  <c r="BB31" i="7"/>
  <c r="BE31" i="7" s="1"/>
  <c r="BH31" i="7" s="1"/>
  <c r="BK31" i="7" s="1"/>
  <c r="BN31" i="7" s="1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BB48" i="7"/>
  <c r="BE48" i="7" s="1"/>
  <c r="BH48" i="7" s="1"/>
  <c r="BK48" i="7" s="1"/>
  <c r="AJ66" i="7"/>
  <c r="AM66" i="7" s="1"/>
  <c r="AP66" i="7" s="1"/>
  <c r="AS66" i="7" s="1"/>
  <c r="AV66" i="7" s="1"/>
  <c r="AY66" i="7" s="1"/>
  <c r="G66" i="7" s="1"/>
  <c r="CE49" i="7"/>
  <c r="BB49" i="7"/>
  <c r="BE49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AM55" i="7"/>
  <c r="AP55" i="7" s="1"/>
  <c r="AS55" i="7" s="1"/>
  <c r="AV55" i="7" s="1"/>
  <c r="AY55" i="7" s="1"/>
  <c r="G55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9" i="7"/>
  <c r="AS69" i="7" s="1"/>
  <c r="AV69" i="7" s="1"/>
  <c r="BB50" i="7" l="1"/>
  <c r="BE50" i="7" s="1"/>
  <c r="BH50" i="7" s="1"/>
  <c r="BK50" i="7" s="1"/>
  <c r="BN50" i="7" s="1"/>
  <c r="BQ50" i="7" s="1"/>
  <c r="BT50" i="7" s="1"/>
  <c r="BW50" i="7" s="1"/>
  <c r="BZ50" i="7" s="1"/>
  <c r="CC50" i="7" s="1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40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0" i="7"/>
  <c r="AY42" i="7"/>
  <c r="CE38" i="7"/>
  <c r="AY13" i="7"/>
  <c r="AY68" i="7"/>
  <c r="CE66" i="7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AY69" i="7"/>
  <c r="BT69" i="7" s="1"/>
  <c r="BW69" i="7" s="1"/>
  <c r="BZ69" i="7" s="1"/>
  <c r="CC69" i="7" s="1"/>
  <c r="G69" i="7" l="1"/>
  <c r="BB68" i="7"/>
  <c r="BE68" i="7" s="1"/>
  <c r="G68" i="7"/>
  <c r="CE42" i="7"/>
  <c r="G42" i="7"/>
  <c r="BQ13" i="7"/>
  <c r="BT13" i="7" s="1"/>
  <c r="BW13" i="7" s="1"/>
  <c r="BZ13" i="7" s="1"/>
  <c r="G13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BH68" i="7"/>
  <c r="BK68" i="7" s="1"/>
  <c r="CE68" i="7"/>
  <c r="BN68" i="7"/>
  <c r="BQ68" i="7" s="1"/>
  <c r="BT68" i="7" s="1"/>
  <c r="BW68" i="7" s="1"/>
  <c r="BZ68" i="7" s="1"/>
  <c r="CC68" i="7" s="1"/>
  <c r="CE13" i="7"/>
  <c r="BK13" i="7"/>
  <c r="BN13" i="7" s="1"/>
  <c r="BB13" i="7"/>
  <c r="BE13" i="7"/>
  <c r="BH13" i="7" s="1"/>
  <c r="CC13" i="7"/>
  <c r="BB69" i="7"/>
  <c r="BE69" i="7" s="1"/>
  <c r="BH69" i="7" s="1"/>
  <c r="BK69" i="7" s="1"/>
  <c r="BN69" i="7" s="1"/>
  <c r="BQ69" i="7" s="1"/>
  <c r="CE69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M1" i="7"/>
  <c r="O71" i="7"/>
  <c r="R71" i="7" s="1"/>
  <c r="U71" i="7" s="1"/>
  <c r="X71" i="7" s="1"/>
  <c r="AA71" i="7" s="1"/>
  <c r="AD71" i="7" s="1"/>
  <c r="AG71" i="7" s="1"/>
  <c r="AJ71" i="7" s="1"/>
  <c r="AM71" i="7" s="1"/>
  <c r="AP71" i="7" s="1"/>
  <c r="AS71" i="7" s="1"/>
  <c r="AV71" i="7" s="1"/>
  <c r="AY71" i="7" s="1"/>
  <c r="Y75" i="7"/>
  <c r="AB75" i="7"/>
  <c r="AE75" i="7"/>
  <c r="AH75" i="7"/>
  <c r="AK75" i="7"/>
  <c r="AN75" i="7"/>
  <c r="AQ75" i="7"/>
  <c r="AT75" i="7"/>
  <c r="AW75" i="7"/>
  <c r="J75" i="7"/>
  <c r="A19" i="8"/>
  <c r="CE70" i="7"/>
  <c r="I75" i="7"/>
  <c r="M75" i="7"/>
  <c r="P75" i="7"/>
  <c r="S75" i="7"/>
  <c r="V75" i="7"/>
  <c r="AZ75" i="7"/>
  <c r="BC75" i="7"/>
  <c r="BF75" i="7"/>
  <c r="BI75" i="7"/>
  <c r="BL75" i="7"/>
  <c r="BO75" i="7"/>
  <c r="BR75" i="7"/>
  <c r="BU75" i="7"/>
  <c r="BX75" i="7"/>
  <c r="CA75" i="7"/>
  <c r="BB71" i="7"/>
  <c r="BE71" i="7" s="1"/>
  <c r="BH71" i="7" s="1"/>
  <c r="BK71" i="7" s="1"/>
  <c r="BN71" i="7" s="1"/>
  <c r="BQ71" i="7" s="1"/>
  <c r="BT71" i="7" s="1"/>
  <c r="BW71" i="7" s="1"/>
  <c r="BZ71" i="7" s="1"/>
  <c r="CC71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5" i="7"/>
  <c r="BD75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5" i="7"/>
  <c r="K75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36" i="8"/>
  <c r="P1" i="7"/>
  <c r="F20" i="8"/>
  <c r="C8" i="6"/>
  <c r="C25" i="9" l="1"/>
  <c r="N75" i="7"/>
  <c r="O4" i="7"/>
  <c r="R4" i="7" s="1"/>
  <c r="BJ75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5" i="7"/>
  <c r="F31" i="8"/>
  <c r="W75" i="7"/>
  <c r="T75" i="7"/>
  <c r="F37" i="8"/>
  <c r="F35" i="8"/>
  <c r="U4" i="7"/>
  <c r="F24" i="8"/>
  <c r="F27" i="8" s="1"/>
  <c r="F28" i="8" s="1"/>
  <c r="BM75" i="7"/>
  <c r="Z75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75" i="7"/>
  <c r="G25" i="8"/>
  <c r="AC75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75" i="7"/>
  <c r="AF75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75" i="7"/>
  <c r="AI75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75" i="7"/>
  <c r="BY75" i="7"/>
  <c r="J27" i="8"/>
  <c r="J28" i="8" s="1"/>
  <c r="J25" i="8"/>
  <c r="AL75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75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5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5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5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5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5" i="7"/>
  <c r="R25" i="8"/>
  <c r="R29" i="8" s="1"/>
  <c r="R32" i="8" l="1"/>
  <c r="Q27" i="8"/>
  <c r="Q28" i="8" s="1"/>
  <c r="Q25" i="8"/>
  <c r="Q29" i="8" s="1"/>
  <c r="Q32" i="8"/>
  <c r="BH75" i="7"/>
  <c r="BK75" i="7" l="1"/>
  <c r="BN75" i="7" l="1"/>
  <c r="BQ75" i="7" l="1"/>
  <c r="BT75" i="7" l="1"/>
  <c r="BW75" i="7" l="1"/>
  <c r="BZ75" i="7" l="1"/>
  <c r="CC75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<sst xmlns="http://schemas.openxmlformats.org/spreadsheetml/2006/main" count="421" uniqueCount="173">
  <si>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</si>
  <si>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</si>
  <si>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</si>
  <si>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</si>
  <si>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</si>
  <si>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</si>
  <si>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</si>
  <si>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</si>
  <si>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</si>
  <si>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</si>
  <si>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</si>
  <si>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</si>
  <si>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</si>
  <si>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</si>
  <si>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</si>
  <si>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</si>
  <si>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</si>
  <si>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</si>
  <si>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</si>
  <si>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</si>
  <si>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</si>
  <si>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</si>
  <si>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</si>
  <si>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</si>
  <si>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</si>
  <si>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</si>
  <si>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</si>
  <si>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</si>
  <si>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</si>
  <si>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</si>
  <si>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</si>
  <si>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</si>
  <si>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</si>
  <si>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</si>
  <si>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</si>
  <si>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</si>
  <si>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</si>
  <si>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</si>
  <si>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</si>
  <si>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</si>
  <si>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</si>
  <si>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</si>
  <si>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</si>
  <si>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</si>
  <si>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</si>
  <si>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</si>
  <si>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</si>
  <si>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</si>
  <si>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</si>
  <si>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</si>
  <si>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</si>
  <si>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</si>
  <si>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</si>
  <si>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</si>
  <si>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</si>
  <si>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</si>
  <si>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</si>
  <si>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</si>
  <si>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</si>
  <si>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</si>
  <si>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</si>
  <si>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</si>
  <si>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</si>
  <si>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</si>
  <si>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</si>
  <si>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</si>
  <si>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</si>
  <si>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</si>
  <si>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</si>
  <si>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</si>
  <si>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</si>
  <si>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</si>
  <si>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</si>
  <si>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</si>
  <si>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</si>
  <si>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</si>
  <si>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</si>
  <si>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</si>
  <si>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</si>
  <si>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</si>
  <si>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</si>
  <si>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</si>
  <si>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</si>
  <si>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</si>
  <si>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</si>
  <si>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</si>
  <si>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</si>
  <si>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</si>
  <si>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</si>
  <si>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</si>
  <si>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</si>
  <si>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</si>
  <si>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</si>
  <si>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</si>
  <si>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</si>
  <si>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</si>
  <si>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</si>
  <si>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</si>
  <si>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</si>
  <si>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</si>
  <si>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</si>
  <si>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</si>
  <si>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</si>
  <si>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</si>
  <si>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</si>
  <si>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</si>
  <si>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</si>
  <si>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</si>
  <si>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</si>
  <si>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</si>
  <si>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</si>
  <si>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</si>
  <si>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</si>
  <si>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</si>
  <si>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</si>
  <si>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</si>
  <si>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</si>
  <si>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</si>
  <si>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</si>
  <si>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</si>
  <si>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</si>
  <si>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</si>
  <si>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</si>
  <si>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</si>
  <si>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</si>
  <si>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</si>
  <si>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</si>
  <si>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</si>
  <si>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</si>
  <si>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</si>
  <si>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</si>
  <si>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</si>
  <si>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</si>
  <si>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</si>
  <si>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Как незарегистрированный пользователь я хочу зарегистрироваться в системе, чтобы использовать ее функции в полном объеме</t>
  </si>
  <si>
    <t>Как незарегистрированный пользователь, я хочу просмотреть карты других пользователей, чтобы узнать, где находится интересующий меня объект</t>
  </si>
  <si>
    <t>Как пользователь системы, я хочу изменить язык интерфейса, чтобы лучше понимать как пользоваться этой системой</t>
  </si>
  <si>
    <t>реализация функции выбора языка интерфейса приложения</t>
  </si>
  <si>
    <t>написание тест плана</t>
  </si>
  <si>
    <t>написание баг-репорта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</si>
  <si>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</si>
  <si>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>Создание и подключение базы данных для сервера</t>
  </si>
  <si>
    <t>olha.rassokha@nure.ua</t>
  </si>
  <si>
    <t>Создание базовой части RESTful сервиса</t>
  </si>
  <si>
    <t>anna.nikonova@nure.ua</t>
  </si>
  <si>
    <t>Anastasia Fedorenko</t>
  </si>
  <si>
    <t>anastasiia.fedorenko@nure.ua</t>
  </si>
  <si>
    <t>Oleh Havrysh</t>
  </si>
  <si>
    <t>oleh.havrysh@nure.ua</t>
  </si>
  <si>
    <t>Oleksandr Shylin</t>
  </si>
  <si>
    <t>oleksandr.shylin1@nure.ua</t>
  </si>
  <si>
    <t>Irina Petrenko</t>
  </si>
  <si>
    <t>iryna.petrenko@nure.ua</t>
  </si>
  <si>
    <t>Olha Rassokha</t>
  </si>
  <si>
    <t>Anna Nikonova</t>
  </si>
  <si>
    <t>Ihor Kamianskiy</t>
  </si>
  <si>
    <t>kamyanskiy.i@gmail.com</t>
  </si>
  <si>
    <t>Создание системы поиска карт</t>
  </si>
  <si>
    <t>Создание разграничения карт на приватные и публичные</t>
  </si>
  <si>
    <t>добавление сущности пользователя на сервер</t>
  </si>
  <si>
    <t>реализация функции регистрации на клиенте</t>
  </si>
  <si>
    <t>реализация функции аутентификации на сервере</t>
  </si>
  <si>
    <t>реализация функции аутентификации на клиенте</t>
  </si>
  <si>
    <t>добавление проверки доступности карты на сервере</t>
  </si>
  <si>
    <t>интеграция сервиса Restful в каркас серверной части</t>
  </si>
  <si>
    <t>рефакторинг реализации классов DAO</t>
  </si>
  <si>
    <t>изучение методологии XP</t>
  </si>
  <si>
    <t>написание юнит тестов для взаимодействия с бд (TDD)</t>
  </si>
  <si>
    <t>наполнение базы данных</t>
  </si>
  <si>
    <t>изучение багтрекинговой системы</t>
  </si>
  <si>
    <t>Как зарегистрированный пользователь, я хочу войти в систему, чтобы использовать ее функции в полном объеме</t>
  </si>
  <si>
    <t>написание тест-кейсов</t>
  </si>
  <si>
    <t>внесение правок в SRS документ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</si>
</sst>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color rgb="FF000000"/>
      <name val="Arial"/>
      <family val="2"/>
      <charset val="204"/>
    </font>
    <font>
      <u/>
      <sz val="11"/>
      <color rgb="FF0000FF"/>
      <name val="Calibri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9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0" borderId="0" xfId="0" applyFont="1"/>
    <xf numFmtId="0" fontId="46" fillId="0" borderId="63" xfId="0" applyFont="1" applyBorder="1" applyAlignment="1">
      <alignment vertical="center" wrapText="1"/>
    </xf>
    <xf numFmtId="0" fontId="47" fillId="31" borderId="11" xfId="36" applyFont="1" applyFill="1" applyBorder="1" applyAlignment="1" applyProtection="1"/>
    <xf numFmtId="0" fontId="1" fillId="0" borderId="11" xfId="36" applyBorder="1" applyAlignment="1" applyProtection="1"/>
    <xf numFmtId="0" fontId="1" fillId="31" borderId="11" xfId="36" applyFill="1" applyBorder="1" applyAlignment="1" applyProtection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125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24"/>
      <tableStyleElement type="headerRow" dxfId="123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  <c:pt idx="4">
                  <c:v>11</c:v>
                </c:pt>
                <c:pt idx="5">
                  <c:v>16</c:v>
                </c:pt>
                <c:pt idx="6">
                  <c:v>18</c:v>
                </c:pt>
                <c:pt idx="7">
                  <c:v>20</c:v>
                </c:pt>
                <c:pt idx="8">
                  <c:v>22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7</c:v>
                </c:pt>
                <c:pt idx="1">
                  <c:v>0</c:v>
                </c:pt>
                <c:pt idx="2">
                  <c:v>6</c:v>
                </c:pt>
                <c:pt idx="3">
                  <c:v>5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59</c:v>
                </c:pt>
                <c:pt idx="1">
                  <c:v>59</c:v>
                </c:pt>
                <c:pt idx="2">
                  <c:v>52</c:v>
                </c:pt>
                <c:pt idx="3">
                  <c:v>51</c:v>
                </c:pt>
                <c:pt idx="4">
                  <c:v>48</c:v>
                </c:pt>
                <c:pt idx="5">
                  <c:v>45</c:v>
                </c:pt>
                <c:pt idx="6">
                  <c:v>43</c:v>
                </c:pt>
                <c:pt idx="7">
                  <c:v>41</c:v>
                </c:pt>
                <c:pt idx="8">
                  <c:v>37</c:v>
                </c:pt>
                <c:pt idx="9">
                  <c:v>37</c:v>
                </c:pt>
                <c:pt idx="10">
                  <c:v>37</c:v>
                </c:pt>
                <c:pt idx="11">
                  <c:v>37</c:v>
                </c:pt>
                <c:pt idx="12">
                  <c:v>37</c:v>
                </c:pt>
                <c:pt idx="13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489536"/>
        <c:axId val="510800960"/>
      </c:areaChart>
      <c:catAx>
        <c:axId val="543489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080096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08009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4348953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28</c:v>
                </c:pt>
                <c:pt idx="2">
                  <c:v>30</c:v>
                </c:pt>
                <c:pt idx="3">
                  <c:v>38</c:v>
                </c:pt>
                <c:pt idx="4">
                  <c:v>41</c:v>
                </c:pt>
                <c:pt idx="5">
                  <c:v>73</c:v>
                </c:pt>
                <c:pt idx="6">
                  <c:v>84</c:v>
                </c:pt>
                <c:pt idx="7">
                  <c:v>93</c:v>
                </c:pt>
                <c:pt idx="8">
                  <c:v>104</c:v>
                </c:pt>
                <c:pt idx="9">
                  <c:v>137</c:v>
                </c:pt>
                <c:pt idx="10">
                  <c:v>137</c:v>
                </c:pt>
                <c:pt idx="11">
                  <c:v>137</c:v>
                </c:pt>
                <c:pt idx="12">
                  <c:v>137</c:v>
                </c:pt>
                <c:pt idx="13">
                  <c:v>137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28</c:v>
                </c:pt>
                <c:pt idx="1">
                  <c:v>0</c:v>
                </c:pt>
                <c:pt idx="2">
                  <c:v>37</c:v>
                </c:pt>
                <c:pt idx="3">
                  <c:v>32</c:v>
                </c:pt>
                <c:pt idx="4">
                  <c:v>43</c:v>
                </c:pt>
                <c:pt idx="5">
                  <c:v>26</c:v>
                </c:pt>
                <c:pt idx="6">
                  <c:v>28</c:v>
                </c:pt>
                <c:pt idx="7">
                  <c:v>28</c:v>
                </c:pt>
                <c:pt idx="8">
                  <c:v>33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109</c:v>
                </c:pt>
                <c:pt idx="1">
                  <c:v>109</c:v>
                </c:pt>
                <c:pt idx="2">
                  <c:v>70</c:v>
                </c:pt>
                <c:pt idx="3">
                  <c:v>67</c:v>
                </c:pt>
                <c:pt idx="4">
                  <c:v>53</c:v>
                </c:pt>
                <c:pt idx="5">
                  <c:v>38</c:v>
                </c:pt>
                <c:pt idx="6">
                  <c:v>25</c:v>
                </c:pt>
                <c:pt idx="7">
                  <c:v>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306816"/>
        <c:axId val="55053516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123</c:v>
                </c:pt>
                <c:pt idx="1">
                  <c:v>109</c:v>
                </c:pt>
                <c:pt idx="2">
                  <c:v>95</c:v>
                </c:pt>
                <c:pt idx="3">
                  <c:v>81</c:v>
                </c:pt>
                <c:pt idx="4">
                  <c:v>67</c:v>
                </c:pt>
                <c:pt idx="5">
                  <c:v>54</c:v>
                </c:pt>
                <c:pt idx="6">
                  <c:v>40</c:v>
                </c:pt>
                <c:pt idx="7">
                  <c:v>28</c:v>
                </c:pt>
                <c:pt idx="8">
                  <c:v>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14</c:v>
                </c:pt>
                <c:pt idx="1">
                  <c:v>28</c:v>
                </c:pt>
                <c:pt idx="2">
                  <c:v>42</c:v>
                </c:pt>
                <c:pt idx="3">
                  <c:v>56</c:v>
                </c:pt>
                <c:pt idx="4">
                  <c:v>70</c:v>
                </c:pt>
                <c:pt idx="5">
                  <c:v>83</c:v>
                </c:pt>
                <c:pt idx="6">
                  <c:v>97</c:v>
                </c:pt>
                <c:pt idx="7">
                  <c:v>109</c:v>
                </c:pt>
                <c:pt idx="8">
                  <c:v>122</c:v>
                </c:pt>
                <c:pt idx="9">
                  <c:v>137</c:v>
                </c:pt>
                <c:pt idx="10">
                  <c:v>137</c:v>
                </c:pt>
                <c:pt idx="11">
                  <c:v>137</c:v>
                </c:pt>
                <c:pt idx="12">
                  <c:v>137</c:v>
                </c:pt>
                <c:pt idx="13">
                  <c:v>137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306816"/>
        <c:axId val="550535168"/>
      </c:lineChart>
      <c:catAx>
        <c:axId val="55030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5053516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505351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5030681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1175680"/>
        <c:axId val="550540928"/>
      </c:barChart>
      <c:catAx>
        <c:axId val="551175680"/>
        <c:scaling>
          <c:orientation val="minMax"/>
        </c:scaling>
        <c:delete val="0"/>
        <c:axPos val="b"/>
        <c:majorTickMark val="out"/>
        <c:minorTickMark val="none"/>
        <c:tickLblPos val="nextTo"/>
        <c:crossAx val="550540928"/>
        <c:crosses val="autoZero"/>
        <c:auto val="1"/>
        <c:lblAlgn val="ctr"/>
        <c:lblOffset val="100"/>
        <c:noMultiLvlLbl val="0"/>
      </c:catAx>
      <c:valAx>
        <c:axId val="5505409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51175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1177728"/>
        <c:axId val="550651008"/>
      </c:barChart>
      <c:catAx>
        <c:axId val="551177728"/>
        <c:scaling>
          <c:orientation val="minMax"/>
        </c:scaling>
        <c:delete val="0"/>
        <c:axPos val="b"/>
        <c:majorTickMark val="out"/>
        <c:minorTickMark val="none"/>
        <c:tickLblPos val="nextTo"/>
        <c:crossAx val="550651008"/>
        <c:crosses val="autoZero"/>
        <c:auto val="1"/>
        <c:lblAlgn val="ctr"/>
        <c:lblOffset val="100"/>
        <c:noMultiLvlLbl val="0"/>
      </c:catAx>
      <c:valAx>
        <c:axId val="550651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51177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498240"/>
        <c:axId val="550657344"/>
      </c:barChart>
      <c:catAx>
        <c:axId val="54349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550657344"/>
        <c:crosses val="autoZero"/>
        <c:auto val="1"/>
        <c:lblAlgn val="ctr"/>
        <c:lblOffset val="100"/>
        <c:noMultiLvlLbl val="0"/>
      </c:catAx>
      <c:valAx>
        <c:axId val="5506573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498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9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C27" sqref="C27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6.42578125" style="6" customWidth="1"/>
    <col min="4" max="4" width="6" style="6" customWidth="1"/>
    <col min="5" max="5" width="43.425781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3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42683</v>
      </c>
      <c r="H1" s="1"/>
      <c r="I1" s="1"/>
      <c r="J1" s="193">
        <f>SprintStart</f>
        <v>42683</v>
      </c>
      <c r="K1" s="193"/>
      <c r="L1" s="193"/>
      <c r="M1" s="193">
        <f>IF(AND(SkipWeekends, WEEKDAY(J1)=6),J1+3, J1+1)</f>
        <v>42684</v>
      </c>
      <c r="N1" s="193"/>
      <c r="O1" s="193"/>
      <c r="P1" s="193">
        <f>IF(AND(SkipWeekends, WEEKDAY(M1)=6),M1+3, M1+1)</f>
        <v>42685</v>
      </c>
      <c r="Q1" s="193"/>
      <c r="R1" s="193"/>
      <c r="S1" s="193">
        <f>IF(AND(SkipWeekends, WEEKDAY(P1)=6),P1+3, P1+1)</f>
        <v>42688</v>
      </c>
      <c r="T1" s="193"/>
      <c r="U1" s="193"/>
      <c r="V1" s="193">
        <f>IF(AND(SkipWeekends, WEEKDAY(S1)=6),S1+3, S1+1)</f>
        <v>42689</v>
      </c>
      <c r="W1" s="193"/>
      <c r="X1" s="193"/>
      <c r="Y1" s="193">
        <f>IF(AND(SkipWeekends, WEEKDAY(V1)=6),V1+3, V1+1)</f>
        <v>42690</v>
      </c>
      <c r="Z1" s="193"/>
      <c r="AA1" s="193"/>
      <c r="AB1" s="193">
        <f>IF(AND(SkipWeekends, WEEKDAY(Y1)=6),Y1+3, Y1+1)</f>
        <v>42691</v>
      </c>
      <c r="AC1" s="193"/>
      <c r="AD1" s="193"/>
      <c r="AE1" s="193">
        <f>IF(AND(SkipWeekends, WEEKDAY(AB1)=6),AB1+3, AB1+1)</f>
        <v>42692</v>
      </c>
      <c r="AF1" s="193"/>
      <c r="AG1" s="193"/>
      <c r="AH1" s="193">
        <f>IF(AND(SkipWeekends, WEEKDAY(AE1)=6),AE1+3, AE1+1)</f>
        <v>42695</v>
      </c>
      <c r="AI1" s="193"/>
      <c r="AJ1" s="193"/>
      <c r="AK1" s="193">
        <f>IF(AND(SkipWeekends, WEEKDAY(AH1)=6),AH1+3, AH1+1)</f>
        <v>42696</v>
      </c>
      <c r="AL1" s="193"/>
      <c r="AM1" s="193"/>
      <c r="AN1" s="193">
        <f>IF(AND(SkipWeekends, WEEKDAY(AK1)=6),AK1+3, AK1+1)</f>
        <v>42697</v>
      </c>
      <c r="AO1" s="193"/>
      <c r="AP1" s="193"/>
      <c r="AQ1" s="193">
        <f>IF(AND(SkipWeekends, WEEKDAY(AN1)=6),AN1+3, AN1+1)</f>
        <v>42698</v>
      </c>
      <c r="AR1" s="193"/>
      <c r="AS1" s="193"/>
      <c r="AT1" s="193">
        <f>IF(AND(SkipWeekends, WEEKDAY(AQ1)=6),AQ1+3, AQ1+1)</f>
        <v>42699</v>
      </c>
      <c r="AU1" s="193"/>
      <c r="AV1" s="193"/>
      <c r="AW1" s="193">
        <f>IF(AND(SkipWeekends, WEEKDAY(AT1)=6),AT1+3, AT1+1)</f>
        <v>42702</v>
      </c>
      <c r="AX1" s="193"/>
      <c r="AY1" s="193"/>
      <c r="AZ1" s="193" t="e">
        <f>IF(AND(SkipWeekends, WEEKDAY(#REF!)=6),#REF!+3,#REF!+ 1)</f>
        <v>#REF!</v>
      </c>
      <c r="BA1" s="193"/>
      <c r="BB1" s="193"/>
      <c r="BC1" s="193" t="e">
        <f>IF(AND(SkipWeekends, WEEKDAY(AZ1)=6),AZ1+3, AZ1+1)</f>
        <v>#REF!</v>
      </c>
      <c r="BD1" s="193"/>
      <c r="BE1" s="193"/>
      <c r="BF1" s="193" t="e">
        <f>IF(AND(SkipWeekends, WEEKDAY(BC1)=6),BC1+3, BC1+1)</f>
        <v>#REF!</v>
      </c>
      <c r="BG1" s="193"/>
      <c r="BH1" s="193"/>
      <c r="BI1" s="193" t="e">
        <f>IF(AND(SkipWeekends, WEEKDAY(BF1)=6),BF1+3, BF1+1)</f>
        <v>#REF!</v>
      </c>
      <c r="BJ1" s="193"/>
      <c r="BK1" s="193"/>
      <c r="BL1" s="193" t="e">
        <f>IF(AND(SkipWeekends, WEEKDAY(BI1)=6),BI1+3, BI1+1)</f>
        <v>#REF!</v>
      </c>
      <c r="BM1" s="193"/>
      <c r="BN1" s="193"/>
      <c r="BO1" s="193" t="e">
        <f>IF(AND(SkipWeekends, WEEKDAY(BL1)=6),BL1+3, BL1+1)</f>
        <v>#REF!</v>
      </c>
      <c r="BP1" s="193"/>
      <c r="BQ1" s="193"/>
      <c r="BR1" s="193" t="e">
        <f>IF(AND(SkipWeekends, WEEKDAY(BO1)=6),BO1+3, BO1+1)</f>
        <v>#REF!</v>
      </c>
      <c r="BS1" s="193"/>
      <c r="BT1" s="193"/>
      <c r="BU1" s="193" t="e">
        <f>IF(AND(SkipWeekends, WEEKDAY(BR1)=6),BR1+3, BR1+1)</f>
        <v>#REF!</v>
      </c>
      <c r="BV1" s="193"/>
      <c r="BW1" s="193"/>
      <c r="BX1" s="193" t="e">
        <f>IF(AND(SkipWeekends, WEEKDAY(BU1)=6),BU1+3, BU1+1)</f>
        <v>#REF!</v>
      </c>
      <c r="BY1" s="193"/>
      <c r="BZ1" s="193"/>
      <c r="CA1" s="193" t="e">
        <f>IF(AND(SkipWeekends, WEEKDAY(BX1)=6),BX1+3, BX1+1)</f>
        <v>#REF!</v>
      </c>
      <c r="CB1" s="193"/>
      <c r="CC1" s="193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122</v>
      </c>
      <c r="C4" s="16" t="s">
        <v>134</v>
      </c>
      <c r="D4" s="17">
        <v>1</v>
      </c>
      <c r="E4" s="178" t="s">
        <v>159</v>
      </c>
      <c r="F4" s="18" t="s">
        <v>150</v>
      </c>
      <c r="G4" s="19" t="e">
        <f t="shared" ref="G4:G69" ca="1" si="0">(INDEX(Burndown,ROW(G4)-ROW(G$3),MIN(TODAY()-SprintStart,29)*3+3))</f>
        <v>#REF!</v>
      </c>
      <c r="H4" s="20">
        <v>1</v>
      </c>
      <c r="I4" s="21">
        <v>4</v>
      </c>
      <c r="J4" s="22">
        <v>0</v>
      </c>
      <c r="K4" s="22">
        <f t="shared" ref="K4" si="1">MAX(I4-J4, 0)</f>
        <v>4</v>
      </c>
      <c r="L4" s="23" t="str">
        <f>IF(SUMPRODUCT($J$72:K$72,$J4:K4)&lt;0.5, "Pending", IF(K4&lt;0.5, "Complete", "In Progress"))</f>
        <v>Pending</v>
      </c>
      <c r="M4" s="22">
        <v>0</v>
      </c>
      <c r="N4" s="22">
        <f t="shared" ref="N4" si="2">MAX(K4-M4,0)</f>
        <v>4</v>
      </c>
      <c r="O4" s="23" t="str">
        <f>IF(SUMPRODUCT($J$72:N$72,$J4:N4)&lt;0.5, "Pending", IF(N4&lt;0.5, "Complete", "In Progress"))</f>
        <v>Pending</v>
      </c>
      <c r="P4" s="22">
        <v>0</v>
      </c>
      <c r="Q4" s="22">
        <f t="shared" ref="Q4" si="3">MAX(N4-P4,0)</f>
        <v>4</v>
      </c>
      <c r="R4" s="23" t="str">
        <f>IF(SUMPRODUCT($J$72:Q$72,$J4:Q4)&lt;0.5, "Pending", IF(Q4&lt;0.5, "Complete", "In Progress"))</f>
        <v>Pending</v>
      </c>
      <c r="S4" s="22">
        <v>0</v>
      </c>
      <c r="T4" s="22">
        <f t="shared" ref="T4" si="4">MAX(Q4-S4,0)</f>
        <v>4</v>
      </c>
      <c r="U4" s="23" t="str">
        <f>IF(SUMPRODUCT($J$72:T$72,$J4:T4)&lt;0.5, "Pending", IF(T4&lt;0.5, "Complete", "In Progress"))</f>
        <v>Pending</v>
      </c>
      <c r="V4" s="22">
        <v>0</v>
      </c>
      <c r="W4" s="22">
        <f t="shared" ref="W4" si="5">MAX(T4-V4,0)</f>
        <v>4</v>
      </c>
      <c r="X4" s="23" t="str">
        <f>IF(SUMPRODUCT($J$72:W$72,$J4:W4)&lt;0.5, "Pending", IF(W4&lt;0.5, "Complete", "In Progress"))</f>
        <v>Pending</v>
      </c>
      <c r="Y4" s="22">
        <v>0</v>
      </c>
      <c r="Z4" s="22">
        <f t="shared" ref="Z4" si="6">MAX(W4-Y4,0)</f>
        <v>4</v>
      </c>
      <c r="AA4" s="23" t="str">
        <f>IF(SUMPRODUCT($J$72:Z$72,$J4:Z4)&lt;0.5, "Pending", IF(Z4&lt;0.5, "Complete", "In Progress"))</f>
        <v>Pending</v>
      </c>
      <c r="AB4" s="22">
        <v>0</v>
      </c>
      <c r="AC4" s="22">
        <f t="shared" ref="AC4" si="7">MAX(Z4-AB4,0)</f>
        <v>4</v>
      </c>
      <c r="AD4" s="23" t="str">
        <f>IF(SUMPRODUCT($J$72:AC$72,$J4:AC4)&lt;0.5, "Pending", IF(AC4&lt;0.5, "Complete", "In Progress"))</f>
        <v>Pending</v>
      </c>
      <c r="AE4" s="22">
        <v>0</v>
      </c>
      <c r="AF4" s="22">
        <f t="shared" ref="AF4" si="8">MAX(AC4-AE4,0)</f>
        <v>4</v>
      </c>
      <c r="AG4" s="23" t="str">
        <f>IF(SUMPRODUCT($J$72:AF$72,$J4:AF4)&lt;0.5, "Pending", IF(AF4&lt;0.5, "Complete", "In Progress"))</f>
        <v>Pending</v>
      </c>
      <c r="AH4" s="22">
        <v>2</v>
      </c>
      <c r="AI4" s="22">
        <f t="shared" ref="AI4" si="9">MAX(AF4-AH4,0)</f>
        <v>2</v>
      </c>
      <c r="AJ4" s="23" t="str">
        <f>IF(SUMPRODUCT($J$72:AI$72,$J4:AI4)&lt;0.5, "Pending", IF(AI4&lt;0.5, "Complete", "In Progress"))</f>
        <v>In Progress</v>
      </c>
      <c r="AK4" s="22">
        <v>2</v>
      </c>
      <c r="AL4" s="22">
        <f t="shared" ref="AL4" si="10">MAX(AI4-AK4,0)</f>
        <v>0</v>
      </c>
      <c r="AM4" s="23" t="str">
        <f>IF(SUMPRODUCT($J$72:AL$72,$J4:AL4)&lt;0.5,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IF(SUMPRODUCT($J$72:AO$72,$J4:AO4)&lt;0.5,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IF(SUMPRODUCT($J$72:AR$72,$J4:AR4)&lt;0.5,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IF(SUMPRODUCT($J$72:AU$72,$J4:AU4)&lt;0.5,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IF(SUMPRODUCT($J$72:AX$72,$J4:AX4)&lt;0.5,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IF(SUMPRODUCT($J$72:BA$72,$J4:BA4)&lt;0.5,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IF(SUMPRODUCT($J$72:BD$72,$J4:BD4)&lt;0.5,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IF(SUMPRODUCT($J$72:BG$72,$J4:BG4)&lt;0.5,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IF(SUMPRODUCT($J$72:BJ$72,$J4:BJ4)&lt;0.5,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IF(SUMPRODUCT($J$72:BM$72,$J4:BM4)&lt;0.5,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IF(SUMPRODUCT($J$72:BP$72,$J4:BP4)&lt;0.5,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IF(SUMPRODUCT($J$72:BS$72,$J4:BS4)&lt;0.5,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IF(SUMPRODUCT($J$72:BV$72,$J4:BV4)&lt;0.5,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IF(SUMPRODUCT($J$72:BY$72,$J4:BY4)&lt;0.5,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IF(SUMPRODUCT($J$72:CB$72,$J4:CB4)&lt;0.5, "Pending", IF(CB4&lt;0.5, "Complete", "In Progress"))</f>
        <v>#REF!</v>
      </c>
      <c r="CD4" s="24"/>
      <c r="CE4" s="25">
        <f>SUMPRODUCT($H$72:AY$72,$H4:AY4)</f>
        <v>4</v>
      </c>
    </row>
    <row r="5" spans="1:83" x14ac:dyDescent="0.2">
      <c r="A5" s="16" t="s">
        <v>105</v>
      </c>
      <c r="B5" s="16" t="s">
        <v>122</v>
      </c>
      <c r="C5" s="16" t="s">
        <v>134</v>
      </c>
      <c r="D5" s="17">
        <v>2</v>
      </c>
      <c r="E5" s="178" t="s">
        <v>160</v>
      </c>
      <c r="F5" s="18" t="s">
        <v>146</v>
      </c>
      <c r="G5" s="19" t="e">
        <f t="shared" ca="1" si="0"/>
        <v>#REF!</v>
      </c>
      <c r="H5" s="20">
        <v>1</v>
      </c>
      <c r="I5" s="21">
        <v>6</v>
      </c>
      <c r="J5" s="22">
        <v>0</v>
      </c>
      <c r="K5" s="22">
        <f t="shared" ref="K5:K68" si="24">MAX(I5-J5, 0)</f>
        <v>6</v>
      </c>
      <c r="L5" s="23" t="str">
        <f>IF(SUMPRODUCT($J$72:K$72,$J5:K5)&lt;0.5, "Pending", IF(K5&lt;0.5, "Complete", "In Progress"))</f>
        <v>Pending</v>
      </c>
      <c r="M5" s="22">
        <v>0</v>
      </c>
      <c r="N5" s="22">
        <f t="shared" ref="N5:N68" si="25">MAX(K5-M5,0)</f>
        <v>6</v>
      </c>
      <c r="O5" s="23" t="str">
        <f>IF(SUMPRODUCT($J$72:N$72,$J5:N5)&lt;0.5, "Pending", IF(N5&lt;0.5, "Complete", "In Progress"))</f>
        <v>Pending</v>
      </c>
      <c r="P5" s="22">
        <v>0</v>
      </c>
      <c r="Q5" s="22">
        <f t="shared" ref="Q5:Q68" si="26">MAX(N5-P5,0)</f>
        <v>6</v>
      </c>
      <c r="R5" s="23" t="str">
        <f>IF(SUMPRODUCT($J$72:Q$72,$J5:Q5)&lt;0.5, "Pending", IF(Q5&lt;0.5, "Complete", "In Progress"))</f>
        <v>Pending</v>
      </c>
      <c r="S5" s="22">
        <v>0</v>
      </c>
      <c r="T5" s="22">
        <f t="shared" ref="T5:T68" si="27">MAX(Q5-S5,0)</f>
        <v>6</v>
      </c>
      <c r="U5" s="23" t="str">
        <f>IF(SUMPRODUCT($J$72:T$72,$J5:T5)&lt;0.5, "Pending", IF(T5&lt;0.5, "Complete", "In Progress"))</f>
        <v>Pending</v>
      </c>
      <c r="V5" s="22">
        <v>2</v>
      </c>
      <c r="W5" s="22">
        <f t="shared" ref="W5:W68" si="28">MAX(T5-V5,0)</f>
        <v>4</v>
      </c>
      <c r="X5" s="23" t="str">
        <f>IF(SUMPRODUCT($J$72:W$72,$J5:W5)&lt;0.5, "Pending", IF(W5&lt;0.5, "Complete", "In Progress"))</f>
        <v>In Progress</v>
      </c>
      <c r="Y5" s="22">
        <v>2</v>
      </c>
      <c r="Z5" s="22">
        <f t="shared" ref="Z5:Z68" si="29">MAX(W5-Y5,0)</f>
        <v>2</v>
      </c>
      <c r="AA5" s="23" t="str">
        <f>IF(SUMPRODUCT($J$72:Z$72,$J5:Z5)&lt;0.5, "Pending", IF(Z5&lt;0.5, "Complete", "In Progress"))</f>
        <v>In Progress</v>
      </c>
      <c r="AB5" s="22">
        <v>2</v>
      </c>
      <c r="AC5" s="22">
        <f t="shared" ref="AC5:AC68" si="30">MAX(Z5-AB5,0)</f>
        <v>0</v>
      </c>
      <c r="AD5" s="23" t="str">
        <f>IF(SUMPRODUCT($J$72:AC$72,$J5:AC5)&lt;0.5, "Pending", IF(AC5&lt;0.5, "Complete", "In Progress"))</f>
        <v>Complete</v>
      </c>
      <c r="AE5" s="22">
        <v>0</v>
      </c>
      <c r="AF5" s="22">
        <f t="shared" ref="AF5:AF68" si="31">MAX(AC5-AE5,0)</f>
        <v>0</v>
      </c>
      <c r="AG5" s="23" t="str">
        <f>IF(SUMPRODUCT($J$72:AF$72,$J5:AF5)&lt;0.5, "Pending", IF(AF5&lt;0.5, "Complete", "In Progress"))</f>
        <v>Complete</v>
      </c>
      <c r="AH5" s="22">
        <v>0</v>
      </c>
      <c r="AI5" s="22">
        <f t="shared" ref="AI5:AI68" si="32">MAX(AF5-AH5,0)</f>
        <v>0</v>
      </c>
      <c r="AJ5" s="23" t="str">
        <f>IF(SUMPRODUCT($J$72:AI$72,$J5:AI5)&lt;0.5, "Pending", IF(AI5&lt;0.5, "Complete", "In Progress"))</f>
        <v>Complete</v>
      </c>
      <c r="AK5" s="22">
        <v>0</v>
      </c>
      <c r="AL5" s="22">
        <f t="shared" ref="AL5:AL68" si="33">MAX(AI5-AK5,0)</f>
        <v>0</v>
      </c>
      <c r="AM5" s="23" t="str">
        <f>IF(SUMPRODUCT($J$72:AL$72,$J5:AL5)&lt;0.5, "Pending", IF(AL5&lt;0.5, "Complete", "In Progress"))</f>
        <v>Complete</v>
      </c>
      <c r="AN5" s="22">
        <v>0</v>
      </c>
      <c r="AO5" s="22">
        <f t="shared" ref="AO5:AO68" si="34">MAX(AL5-AN5,0)</f>
        <v>0</v>
      </c>
      <c r="AP5" s="23" t="str">
        <f>IF(SUMPRODUCT($J$72:AO$72,$J5:AO5)&lt;0.5, "Pending", IF(AO5&lt;0.5, "Complete", "In Progress"))</f>
        <v>Complete</v>
      </c>
      <c r="AQ5" s="22">
        <v>0</v>
      </c>
      <c r="AR5" s="22">
        <f t="shared" ref="AR5:AR68" si="35">MAX(AO5-AQ5,0)</f>
        <v>0</v>
      </c>
      <c r="AS5" s="23" t="str">
        <f>IF(SUMPRODUCT($J$72:AR$72,$J5:AR5)&lt;0.5, "Pending", IF(AR5&lt;0.5, "Complete", "In Progress"))</f>
        <v>Complete</v>
      </c>
      <c r="AT5" s="22">
        <v>0</v>
      </c>
      <c r="AU5" s="22">
        <f t="shared" ref="AU5:AU68" si="36">MAX(AR5-AT5,0)</f>
        <v>0</v>
      </c>
      <c r="AV5" s="23" t="str">
        <f>IF(SUMPRODUCT($J$72:AU$72,$J5:AU5)&lt;0.5, "Pending", IF(AU5&lt;0.5, "Complete", "In Progress"))</f>
        <v>Complete</v>
      </c>
      <c r="AW5" s="22">
        <v>0</v>
      </c>
      <c r="AX5" s="22">
        <f t="shared" ref="AX5:AX68" si="37">MAX(AU5-AW5,0)</f>
        <v>0</v>
      </c>
      <c r="AY5" s="23" t="str">
        <f>IF(SUMPRODUCT($J$72:AX$72,$J5:AX5)&lt;0.5,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IF(SUMPRODUCT($J$72:BA$72,$J5:BA5)&lt;0.5, "Pending", IF(BA5&lt;0.5, "Complete", "In Progress"))</f>
        <v>#REF!</v>
      </c>
      <c r="BC5" s="22">
        <v>0</v>
      </c>
      <c r="BD5" s="22" t="e">
        <f t="shared" ref="BD5:BD68" si="38">MAX(BA5-BC5,0)</f>
        <v>#REF!</v>
      </c>
      <c r="BE5" s="23" t="e">
        <f>IF(SUMPRODUCT($J$72:BD$72,$J5:BD5)&lt;0.5, "Pending", IF(BD5&lt;0.5, "Complete", "In Progress"))</f>
        <v>#REF!</v>
      </c>
      <c r="BF5" s="22">
        <v>0</v>
      </c>
      <c r="BG5" s="22" t="e">
        <f t="shared" ref="BG5:BG68" si="39">MAX(BD5-BF5,0)</f>
        <v>#REF!</v>
      </c>
      <c r="BH5" s="23" t="e">
        <f>IF(SUMPRODUCT($J$72:BG$72,$J5:BG5)&lt;0.5, "Pending", IF(BG5&lt;0.5, "Complete", "In Progress"))</f>
        <v>#REF!</v>
      </c>
      <c r="BI5" s="22">
        <v>0</v>
      </c>
      <c r="BJ5" s="22" t="e">
        <f t="shared" ref="BJ5:BJ68" si="40">MAX(BG5-BI5,0)</f>
        <v>#REF!</v>
      </c>
      <c r="BK5" s="23" t="e">
        <f>IF(SUMPRODUCT($J$72:BJ$72,$J5:BJ5)&lt;0.5, "Pending", IF(BJ5&lt;0.5, "Complete", "In Progress"))</f>
        <v>#REF!</v>
      </c>
      <c r="BL5" s="22">
        <v>0</v>
      </c>
      <c r="BM5" s="22" t="e">
        <f t="shared" ref="BM5:BM68" si="41">MAX(BJ5-BL5,0)</f>
        <v>#REF!</v>
      </c>
      <c r="BN5" s="23" t="e">
        <f>IF(SUMPRODUCT($J$72:BM$72,$J5:BM5)&lt;0.5, "Pending", IF(BM5&lt;0.5, "Complete", "In Progress"))</f>
        <v>#REF!</v>
      </c>
      <c r="BO5" s="22">
        <v>0</v>
      </c>
      <c r="BP5" s="22" t="e">
        <f t="shared" ref="BP5:BP68" si="42">MAX(BM5-BO5,0)</f>
        <v>#REF!</v>
      </c>
      <c r="BQ5" s="23" t="e">
        <f>IF(SUMPRODUCT($J$72:BP$72,$J5:BP5)&lt;0.5, "Pending", IF(BP5&lt;0.5, "Complete", "In Progress"))</f>
        <v>#REF!</v>
      </c>
      <c r="BR5" s="22">
        <v>0</v>
      </c>
      <c r="BS5" s="22" t="e">
        <f t="shared" ref="BS5:BS68" si="43">MAX(BP5-BR5,0)</f>
        <v>#REF!</v>
      </c>
      <c r="BT5" s="23" t="e">
        <f>IF(SUMPRODUCT($J$72:BS$72,$J5:BS5)&lt;0.5, "Pending", IF(BS5&lt;0.5, "Complete", "In Progress"))</f>
        <v>#REF!</v>
      </c>
      <c r="BU5" s="22">
        <v>0</v>
      </c>
      <c r="BV5" s="22" t="e">
        <f t="shared" ref="BV5:BV68" si="44">MAX(BS5-BU5,0)</f>
        <v>#REF!</v>
      </c>
      <c r="BW5" s="23" t="e">
        <f>IF(SUMPRODUCT($J$72:BV$72,$J5:BV5)&lt;0.5, "Pending", IF(BV5&lt;0.5, "Complete", "In Progress"))</f>
        <v>#REF!</v>
      </c>
      <c r="BX5" s="22">
        <v>0</v>
      </c>
      <c r="BY5" s="22" t="e">
        <f t="shared" ref="BY5:BY68" si="45">MAX(BV5-BX5,0)</f>
        <v>#REF!</v>
      </c>
      <c r="BZ5" s="23" t="e">
        <f>IF(SUMPRODUCT($J$72:BY$72,$J5:BY5)&lt;0.5, "Pending", IF(BY5&lt;0.5, "Complete", "In Progress"))</f>
        <v>#REF!</v>
      </c>
      <c r="CA5" s="22">
        <v>0</v>
      </c>
      <c r="CB5" s="22" t="e">
        <f t="shared" ref="CB5:CB68" si="46">MAX(BY5-CA5,0)</f>
        <v>#REF!</v>
      </c>
      <c r="CC5" s="23" t="e">
        <f>IF(SUMPRODUCT($J$72:CB$72,$J5:CB5)&lt;0.5, "Pending", IF(CB5&lt;0.5, "Complete", "In Progress"))</f>
        <v>#REF!</v>
      </c>
      <c r="CD5" s="24"/>
      <c r="CE5" s="25">
        <f>SUMPRODUCT($H$72:AY$72,$H5:AY5)</f>
        <v>6</v>
      </c>
    </row>
    <row r="6" spans="1:83" x14ac:dyDescent="0.2">
      <c r="A6" s="16" t="s">
        <v>105</v>
      </c>
      <c r="B6" s="16" t="s">
        <v>122</v>
      </c>
      <c r="C6" s="16" t="s">
        <v>170</v>
      </c>
      <c r="D6" s="17">
        <v>3</v>
      </c>
      <c r="E6" s="178" t="s">
        <v>161</v>
      </c>
      <c r="F6" s="18" t="s">
        <v>148</v>
      </c>
      <c r="G6" s="19" t="e">
        <f t="shared" ca="1" si="0"/>
        <v>#REF!</v>
      </c>
      <c r="H6" s="20">
        <v>1</v>
      </c>
      <c r="I6" s="21">
        <v>8</v>
      </c>
      <c r="J6" s="22">
        <v>0</v>
      </c>
      <c r="K6" s="22">
        <f t="shared" si="24"/>
        <v>8</v>
      </c>
      <c r="L6" s="23" t="str">
        <f>IF(SUMPRODUCT($J$72:K$72,$J6:K6)&lt;0.5, "Pending", IF(K6&lt;0.5, "Complete", "In Progress"))</f>
        <v>Pending</v>
      </c>
      <c r="M6" s="22">
        <v>0</v>
      </c>
      <c r="N6" s="22">
        <f t="shared" si="25"/>
        <v>8</v>
      </c>
      <c r="O6" s="23" t="str">
        <f>IF(SUMPRODUCT($J$72:N$72,$J6:N6)&lt;0.5, "Pending", IF(N6&lt;0.5, "Complete", "In Progress"))</f>
        <v>Pending</v>
      </c>
      <c r="P6" s="22">
        <v>2</v>
      </c>
      <c r="Q6" s="22">
        <f t="shared" si="26"/>
        <v>6</v>
      </c>
      <c r="R6" s="23" t="str">
        <f>IF(SUMPRODUCT($J$72:Q$72,$J6:Q6)&lt;0.5, "Pending", IF(Q6&lt;0.5, "Complete", "In Progress"))</f>
        <v>In Progress</v>
      </c>
      <c r="S6" s="22">
        <v>2</v>
      </c>
      <c r="T6" s="22">
        <f t="shared" si="27"/>
        <v>4</v>
      </c>
      <c r="U6" s="23" t="str">
        <f>IF(SUMPRODUCT($J$72:T$72,$J6:T6)&lt;0.5, "Pending", IF(T6&lt;0.5, "Complete", "In Progress"))</f>
        <v>In Progress</v>
      </c>
      <c r="V6" s="22">
        <v>2</v>
      </c>
      <c r="W6" s="22">
        <f t="shared" si="28"/>
        <v>2</v>
      </c>
      <c r="X6" s="23" t="str">
        <f>IF(SUMPRODUCT($J$72:W$72,$J6:W6)&lt;0.5, "Pending", IF(W6&lt;0.5, "Complete", "In Progress"))</f>
        <v>In Progress</v>
      </c>
      <c r="Y6" s="22">
        <v>2</v>
      </c>
      <c r="Z6" s="22">
        <f t="shared" si="29"/>
        <v>0</v>
      </c>
      <c r="AA6" s="23" t="str">
        <f>IF(SUMPRODUCT($J$72:Z$72,$J6:Z6)&lt;0.5, "Pending", IF(Z6&lt;0.5, "Complete", "In Progress"))</f>
        <v>Complete</v>
      </c>
      <c r="AB6" s="22">
        <v>0</v>
      </c>
      <c r="AC6" s="22">
        <f t="shared" si="30"/>
        <v>0</v>
      </c>
      <c r="AD6" s="23" t="str">
        <f>IF(SUMPRODUCT($J$72:AC$72,$J6:AC6)&lt;0.5, "Pending", IF(AC6&lt;0.5, "Complete", "In Progress"))</f>
        <v>Complete</v>
      </c>
      <c r="AE6" s="22">
        <v>0</v>
      </c>
      <c r="AF6" s="22">
        <f t="shared" si="31"/>
        <v>0</v>
      </c>
      <c r="AG6" s="23" t="str">
        <f>IF(SUMPRODUCT($J$72:AF$72,$J6:AF6)&lt;0.5,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IF(SUMPRODUCT($J$72:AI$72,$J6:AI6)&lt;0.5,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IF(SUMPRODUCT($J$72:AL$72,$J6:AL6)&lt;0.5,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IF(SUMPRODUCT($J$72:AO$72,$J6:AO6)&lt;0.5,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IF(SUMPRODUCT($J$72:AR$72,$J6:AR6)&lt;0.5,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IF(SUMPRODUCT($J$72:AU$72,$J6:AU6)&lt;0.5,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IF(SUMPRODUCT($J$72:AX$72,$J6:AX6)&lt;0.5,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IF(SUMPRODUCT($J$72:BA$72,$J6:BA6)&lt;0.5,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IF(SUMPRODUCT($J$72:BD$72,$J6:BD6)&lt;0.5,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IF(SUMPRODUCT($J$72:BG$72,$J6:BG6)&lt;0.5,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IF(SUMPRODUCT($J$72:BJ$72,$J6:BJ6)&lt;0.5,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IF(SUMPRODUCT($J$72:BM$72,$J6:BM6)&lt;0.5,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IF(SUMPRODUCT($J$72:BP$72,$J6:BP6)&lt;0.5,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IF(SUMPRODUCT($J$72:BS$72,$J6:BS6)&lt;0.5,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IF(SUMPRODUCT($J$72:BV$72,$J6:BV6)&lt;0.5,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IF(SUMPRODUCT($J$72:BY$72,$J6:BY6)&lt;0.5,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IF(SUMPRODUCT($J$72:CB$72,$J6:CB6)&lt;0.5, "Pending", IF(CB6&lt;0.5, "Complete", "In Progress"))</f>
        <v>#REF!</v>
      </c>
      <c r="CD6" s="24"/>
      <c r="CE6" s="25">
        <f>SUMPRODUCT($H$72:AY$72,$H6:AY6)</f>
        <v>8</v>
      </c>
    </row>
    <row r="7" spans="1:83" x14ac:dyDescent="0.2">
      <c r="A7" s="16" t="s">
        <v>105</v>
      </c>
      <c r="B7" s="16" t="s">
        <v>122</v>
      </c>
      <c r="C7" s="16" t="s">
        <v>170</v>
      </c>
      <c r="D7" s="17">
        <v>4</v>
      </c>
      <c r="E7" s="178" t="s">
        <v>162</v>
      </c>
      <c r="F7" s="18" t="s">
        <v>146</v>
      </c>
      <c r="G7" s="19" t="e">
        <f t="shared" ca="1" si="0"/>
        <v>#REF!</v>
      </c>
      <c r="H7" s="20">
        <v>1</v>
      </c>
      <c r="I7" s="21">
        <v>4</v>
      </c>
      <c r="J7" s="22">
        <v>0</v>
      </c>
      <c r="K7" s="22">
        <f t="shared" si="24"/>
        <v>4</v>
      </c>
      <c r="L7" s="23" t="str">
        <f>IF(SUMPRODUCT($J$72:K$72,$J7:K7)&lt;0.5, "Pending", IF(K7&lt;0.5, "Complete", "In Progress"))</f>
        <v>Pending</v>
      </c>
      <c r="M7" s="22">
        <v>0</v>
      </c>
      <c r="N7" s="22">
        <f t="shared" si="25"/>
        <v>4</v>
      </c>
      <c r="O7" s="23" t="str">
        <f>IF(SUMPRODUCT($J$72:N$72,$J7:N7)&lt;0.5, "Pending", IF(N7&lt;0.5, "Complete", "In Progress"))</f>
        <v>Pending</v>
      </c>
      <c r="P7" s="22">
        <v>2</v>
      </c>
      <c r="Q7" s="22">
        <f t="shared" si="26"/>
        <v>2</v>
      </c>
      <c r="R7" s="23" t="str">
        <f>IF(SUMPRODUCT($J$72:Q$72,$J7:Q7)&lt;0.5, "Pending", IF(Q7&lt;0.5, "Complete", "In Progress"))</f>
        <v>In Progress</v>
      </c>
      <c r="S7" s="22">
        <v>2</v>
      </c>
      <c r="T7" s="22">
        <f t="shared" si="27"/>
        <v>0</v>
      </c>
      <c r="U7" s="23" t="str">
        <f>IF(SUMPRODUCT($J$72:T$72,$J7:T7)&lt;0.5,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IF(SUMPRODUCT($J$72:W$72,$J7:W7)&lt;0.5,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IF(SUMPRODUCT($J$72:Z$72,$J7:Z7)&lt;0.5,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IF(SUMPRODUCT($J$72:AC$72,$J7:AC7)&lt;0.5,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IF(SUMPRODUCT($J$72:AF$72,$J7:AF7)&lt;0.5,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IF(SUMPRODUCT($J$72:AI$72,$J7:AI7)&lt;0.5,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IF(SUMPRODUCT($J$72:AL$72,$J7:AL7)&lt;0.5,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IF(SUMPRODUCT($J$72:AO$72,$J7:AO7)&lt;0.5,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IF(SUMPRODUCT($J$72:AR$72,$J7:AR7)&lt;0.5,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IF(SUMPRODUCT($J$72:AU$72,$J7:AU7)&lt;0.5,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IF(SUMPRODUCT($J$72:AX$72,$J7:AX7)&lt;0.5,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IF(SUMPRODUCT($J$72:BA$72,$J7:BA7)&lt;0.5,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IF(SUMPRODUCT($J$72:BD$72,$J7:BD7)&lt;0.5,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IF(SUMPRODUCT($J$72:BG$72,$J7:BG7)&lt;0.5,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IF(SUMPRODUCT($J$72:BJ$72,$J7:BJ7)&lt;0.5,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IF(SUMPRODUCT($J$72:BM$72,$J7:BM7)&lt;0.5,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IF(SUMPRODUCT($J$72:BP$72,$J7:BP7)&lt;0.5,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IF(SUMPRODUCT($J$72:BS$72,$J7:BS7)&lt;0.5,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IF(SUMPRODUCT($J$72:BV$72,$J7:BV7)&lt;0.5,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IF(SUMPRODUCT($J$72:BY$72,$J7:BY7)&lt;0.5,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IF(SUMPRODUCT($J$72:CB$72,$J7:CB7)&lt;0.5, "Pending", IF(CB7&lt;0.5, "Complete", "In Progress"))</f>
        <v>#REF!</v>
      </c>
      <c r="CD7" s="24"/>
      <c r="CE7" s="25">
        <f>SUMPRODUCT($H$72:AY$72,$H7:AY7)</f>
        <v>4</v>
      </c>
    </row>
    <row r="8" spans="1:83" x14ac:dyDescent="0.2">
      <c r="A8" s="16" t="s">
        <v>105</v>
      </c>
      <c r="B8" s="16" t="s">
        <v>122</v>
      </c>
      <c r="C8" s="16" t="s">
        <v>135</v>
      </c>
      <c r="D8" s="17">
        <v>5</v>
      </c>
      <c r="E8" s="178" t="s">
        <v>163</v>
      </c>
      <c r="F8" s="18" t="s">
        <v>142</v>
      </c>
      <c r="G8" s="19" t="e">
        <f t="shared" ca="1" si="0"/>
        <v>#REF!</v>
      </c>
      <c r="H8" s="20">
        <v>1</v>
      </c>
      <c r="I8" s="21">
        <v>3</v>
      </c>
      <c r="J8" s="22">
        <v>0</v>
      </c>
      <c r="K8" s="22">
        <f t="shared" si="24"/>
        <v>3</v>
      </c>
      <c r="L8" s="23" t="str">
        <f>IF(SUMPRODUCT($J$72:K$72,$J8:K8)&lt;0.5, "Pending", IF(K8&lt;0.5, "Complete", "In Progress"))</f>
        <v>Pending</v>
      </c>
      <c r="M8" s="22">
        <v>0</v>
      </c>
      <c r="N8" s="22">
        <f t="shared" si="25"/>
        <v>3</v>
      </c>
      <c r="O8" s="23" t="str">
        <f>IF(SUMPRODUCT($J$72:N$72,$J8:N8)&lt;0.5, "Pending", IF(N8&lt;0.5, "Complete", "In Progress"))</f>
        <v>Pending</v>
      </c>
      <c r="P8" s="22">
        <v>0</v>
      </c>
      <c r="Q8" s="22">
        <f t="shared" si="26"/>
        <v>3</v>
      </c>
      <c r="R8" s="23" t="str">
        <f>IF(SUMPRODUCT($J$72:Q$72,$J8:Q8)&lt;0.5, "Pending", IF(Q8&lt;0.5, "Complete", "In Progress"))</f>
        <v>Pending</v>
      </c>
      <c r="S8" s="22">
        <v>0</v>
      </c>
      <c r="T8" s="22">
        <f t="shared" si="27"/>
        <v>3</v>
      </c>
      <c r="U8" s="23" t="str">
        <f>IF(SUMPRODUCT($J$72:T$72,$J8:T8)&lt;0.5, "Pending", IF(T8&lt;0.5, "Complete", "In Progress"))</f>
        <v>Pending</v>
      </c>
      <c r="V8" s="22">
        <v>0</v>
      </c>
      <c r="W8" s="22">
        <f t="shared" si="28"/>
        <v>3</v>
      </c>
      <c r="X8" s="23" t="str">
        <f>IF(SUMPRODUCT($J$72:W$72,$J8:W8)&lt;0.5, "Pending", IF(W8&lt;0.5, "Complete", "In Progress"))</f>
        <v>Pending</v>
      </c>
      <c r="Y8" s="22">
        <v>0</v>
      </c>
      <c r="Z8" s="22">
        <f t="shared" si="29"/>
        <v>3</v>
      </c>
      <c r="AA8" s="23" t="str">
        <f>IF(SUMPRODUCT($J$72:Z$72,$J8:Z8)&lt;0.5, "Pending", IF(Z8&lt;0.5, "Complete", "In Progress"))</f>
        <v>Pending</v>
      </c>
      <c r="AB8" s="22">
        <v>0</v>
      </c>
      <c r="AC8" s="22">
        <f t="shared" si="30"/>
        <v>3</v>
      </c>
      <c r="AD8" s="23" t="str">
        <f>IF(SUMPRODUCT($J$72:AC$72,$J8:AC8)&lt;0.5, "Pending", IF(AC8&lt;0.5, "Complete", "In Progress"))</f>
        <v>Pending</v>
      </c>
      <c r="AE8" s="22">
        <v>1</v>
      </c>
      <c r="AF8" s="22">
        <f t="shared" si="31"/>
        <v>2</v>
      </c>
      <c r="AG8" s="23" t="str">
        <f>IF(SUMPRODUCT($J$72:AF$72,$J8:AF8)&lt;0.5, "Pending", IF(AF8&lt;0.5, "Complete", "In Progress"))</f>
        <v>In Progress</v>
      </c>
      <c r="AH8" s="22">
        <v>1</v>
      </c>
      <c r="AI8" s="22">
        <f t="shared" si="32"/>
        <v>1</v>
      </c>
      <c r="AJ8" s="23" t="str">
        <f>IF(SUMPRODUCT($J$72:AI$72,$J8:AI8)&lt;0.5, "Pending", IF(AI8&lt;0.5, "Complete", "In Progress"))</f>
        <v>In Progress</v>
      </c>
      <c r="AK8" s="22">
        <v>1</v>
      </c>
      <c r="AL8" s="22">
        <f t="shared" si="33"/>
        <v>0</v>
      </c>
      <c r="AM8" s="23" t="str">
        <f>IF(SUMPRODUCT($J$72:AL$72,$J8:AL8)&lt;0.5,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IF(SUMPRODUCT($J$72:AO$72,$J8:AO8)&lt;0.5,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IF(SUMPRODUCT($J$72:AR$72,$J8:AR8)&lt;0.5,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IF(SUMPRODUCT($J$72:AU$72,$J8:AU8)&lt;0.5,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IF(SUMPRODUCT($J$72:AX$72,$J8:AX8)&lt;0.5,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IF(SUMPRODUCT($J$72:BA$72,$J8:BA8)&lt;0.5,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IF(SUMPRODUCT($J$72:BD$72,$J8:BD8)&lt;0.5,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IF(SUMPRODUCT($J$72:BG$72,$J8:BG8)&lt;0.5,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IF(SUMPRODUCT($J$72:BJ$72,$J8:BJ8)&lt;0.5,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IF(SUMPRODUCT($J$72:BM$72,$J8:BM8)&lt;0.5,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IF(SUMPRODUCT($J$72:BP$72,$J8:BP8)&lt;0.5,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IF(SUMPRODUCT($J$72:BS$72,$J8:BS8)&lt;0.5,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IF(SUMPRODUCT($J$72:BV$72,$J8:BV8)&lt;0.5,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IF(SUMPRODUCT($J$72:BY$72,$J8:BY8)&lt;0.5,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IF(SUMPRODUCT($J$72:CB$72,$J8:CB8)&lt;0.5, "Pending", IF(CB8&lt;0.5, "Complete", "In Progress"))</f>
        <v>#REF!</v>
      </c>
      <c r="CD8" s="24"/>
      <c r="CE8" s="25">
        <f>SUMPRODUCT($H$72:AY$72,$H8:AY8)</f>
        <v>3</v>
      </c>
    </row>
    <row r="9" spans="1:83" x14ac:dyDescent="0.2">
      <c r="A9" s="16" t="s">
        <v>105</v>
      </c>
      <c r="B9" s="16" t="s">
        <v>122</v>
      </c>
      <c r="C9" s="16"/>
      <c r="D9" s="17">
        <v>6</v>
      </c>
      <c r="E9" s="178" t="s">
        <v>167</v>
      </c>
      <c r="F9" s="18" t="s">
        <v>150</v>
      </c>
      <c r="G9" s="19" t="e">
        <f t="shared" ca="1" si="0"/>
        <v>#REF!</v>
      </c>
      <c r="H9" s="20">
        <v>1</v>
      </c>
      <c r="I9" s="21">
        <v>4</v>
      </c>
      <c r="J9" s="22">
        <v>0</v>
      </c>
      <c r="K9" s="22">
        <f t="shared" si="24"/>
        <v>4</v>
      </c>
      <c r="L9" s="23" t="str">
        <f>IF(SUMPRODUCT($J$72:K$72,$J9:K9)&lt;0.5, "Pending", IF(K9&lt;0.5, "Complete", "In Progress"))</f>
        <v>Pending</v>
      </c>
      <c r="M9" s="22">
        <v>0</v>
      </c>
      <c r="N9" s="22">
        <f t="shared" si="25"/>
        <v>4</v>
      </c>
      <c r="O9" s="23" t="str">
        <f>IF(SUMPRODUCT($J$72:N$72,$J9:N9)&lt;0.5, "Pending", IF(N9&lt;0.5, "Complete", "In Progress"))</f>
        <v>Pending</v>
      </c>
      <c r="P9" s="22">
        <v>2</v>
      </c>
      <c r="Q9" s="22">
        <f t="shared" si="26"/>
        <v>2</v>
      </c>
      <c r="R9" s="23" t="str">
        <f>IF(SUMPRODUCT($J$72:Q$72,$J9:Q9)&lt;0.5, "Pending", IF(Q9&lt;0.5, "Complete", "In Progress"))</f>
        <v>In Progress</v>
      </c>
      <c r="S9" s="22">
        <v>2</v>
      </c>
      <c r="T9" s="22">
        <f t="shared" si="27"/>
        <v>0</v>
      </c>
      <c r="U9" s="23" t="str">
        <f>IF(SUMPRODUCT($J$72:T$72,$J9:T9)&lt;0.5, "Pending", IF(T9&lt;0.5, "Complete", "In Progress"))</f>
        <v>Complete</v>
      </c>
      <c r="V9" s="22">
        <v>0</v>
      </c>
      <c r="W9" s="22">
        <f t="shared" si="28"/>
        <v>0</v>
      </c>
      <c r="X9" s="23" t="str">
        <f>IF(SUMPRODUCT($J$72:W$72,$J9:W9)&lt;0.5, "Pending", IF(W9&lt;0.5, "Complete", "In Progress"))</f>
        <v>Complete</v>
      </c>
      <c r="Y9" s="22">
        <v>0</v>
      </c>
      <c r="Z9" s="22">
        <f t="shared" si="29"/>
        <v>0</v>
      </c>
      <c r="AA9" s="23" t="str">
        <f>IF(SUMPRODUCT($J$72:Z$72,$J9:Z9)&lt;0.5, "Pending", IF(Z9&lt;0.5, "Complete", "In Progress"))</f>
        <v>Complete</v>
      </c>
      <c r="AB9" s="22">
        <v>0</v>
      </c>
      <c r="AC9" s="22">
        <f t="shared" si="30"/>
        <v>0</v>
      </c>
      <c r="AD9" s="23" t="str">
        <f>IF(SUMPRODUCT($J$72:AC$72,$J9:AC9)&lt;0.5, "Pending", IF(AC9&lt;0.5, "Complete", "In Progress"))</f>
        <v>Complete</v>
      </c>
      <c r="AE9" s="22">
        <v>0</v>
      </c>
      <c r="AF9" s="22">
        <f t="shared" si="31"/>
        <v>0</v>
      </c>
      <c r="AG9" s="23" t="str">
        <f>IF(SUMPRODUCT($J$72:AF$72,$J9:AF9)&lt;0.5, "Pending", IF(AF9&lt;0.5, "Complete", "In Progress"))</f>
        <v>Complete</v>
      </c>
      <c r="AH9" s="22">
        <v>0</v>
      </c>
      <c r="AI9" s="22">
        <f t="shared" si="32"/>
        <v>0</v>
      </c>
      <c r="AJ9" s="23" t="str">
        <f>IF(SUMPRODUCT($J$72:AI$72,$J9:AI9)&lt;0.5, "Pending", IF(AI9&lt;0.5, "Complete", "In Progress"))</f>
        <v>Complete</v>
      </c>
      <c r="AK9" s="22">
        <v>0</v>
      </c>
      <c r="AL9" s="22">
        <f t="shared" si="33"/>
        <v>0</v>
      </c>
      <c r="AM9" s="23" t="str">
        <f>IF(SUMPRODUCT($J$72:AL$72,$J9:AL9)&lt;0.5, "Pending", IF(AL9&lt;0.5, "Complete", "In Progress"))</f>
        <v>Complete</v>
      </c>
      <c r="AN9" s="22">
        <v>0</v>
      </c>
      <c r="AO9" s="22">
        <f t="shared" si="34"/>
        <v>0</v>
      </c>
      <c r="AP9" s="23" t="str">
        <f>IF(SUMPRODUCT($J$72:AO$72,$J9:AO9)&lt;0.5, "Pending", IF(AO9&lt;0.5, "Complete", "In Progress"))</f>
        <v>Complete</v>
      </c>
      <c r="AQ9" s="22">
        <v>0</v>
      </c>
      <c r="AR9" s="22">
        <f t="shared" si="35"/>
        <v>0</v>
      </c>
      <c r="AS9" s="23" t="str">
        <f>IF(SUMPRODUCT($J$72:AR$72,$J9:AR9)&lt;0.5, "Pending", IF(AR9&lt;0.5, "Complete", "In Progress"))</f>
        <v>Complete</v>
      </c>
      <c r="AT9" s="22">
        <v>0</v>
      </c>
      <c r="AU9" s="22">
        <f t="shared" si="36"/>
        <v>0</v>
      </c>
      <c r="AV9" s="23" t="str">
        <f>IF(SUMPRODUCT($J$72:AU$72,$J9:AU9)&lt;0.5, "Pending", IF(AU9&lt;0.5, "Complete", "In Progress"))</f>
        <v>Complete</v>
      </c>
      <c r="AW9" s="22">
        <v>0</v>
      </c>
      <c r="AX9" s="22">
        <f t="shared" si="37"/>
        <v>0</v>
      </c>
      <c r="AY9" s="23" t="str">
        <f>IF(SUMPRODUCT($J$72:AX$72,$J9:AX9)&lt;0.5,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IF(SUMPRODUCT($J$72:BA$72,$J9:BA9)&lt;0.5,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IF(SUMPRODUCT($J$72:BD$72,$J9:BD9)&lt;0.5,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IF(SUMPRODUCT($J$72:BG$72,$J9:BG9)&lt;0.5,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IF(SUMPRODUCT($J$72:BJ$72,$J9:BJ9)&lt;0.5,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IF(SUMPRODUCT($J$72:BM$72,$J9:BM9)&lt;0.5,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IF(SUMPRODUCT($J$72:BP$72,$J9:BP9)&lt;0.5,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IF(SUMPRODUCT($J$72:BS$72,$J9:BS9)&lt;0.5,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IF(SUMPRODUCT($J$72:BV$72,$J9:BV9)&lt;0.5,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IF(SUMPRODUCT($J$72:BY$72,$J9:BY9)&lt;0.5,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IF(SUMPRODUCT($J$72:CB$72,$J9:CB9)&lt;0.5, "Pending", IF(CB9&lt;0.5, "Complete", "In Progress"))</f>
        <v>#REF!</v>
      </c>
      <c r="CD9" s="24"/>
      <c r="CE9" s="25">
        <f>SUMPRODUCT($H$72:AY$72,$H9:AY9)</f>
        <v>4</v>
      </c>
    </row>
    <row r="10" spans="1:83" x14ac:dyDescent="0.2">
      <c r="A10" s="16" t="s">
        <v>105</v>
      </c>
      <c r="B10" s="16" t="s">
        <v>122</v>
      </c>
      <c r="C10" s="16"/>
      <c r="D10" s="17">
        <v>7</v>
      </c>
      <c r="E10" s="178" t="s">
        <v>164</v>
      </c>
      <c r="F10" s="18" t="s">
        <v>150</v>
      </c>
      <c r="G10" s="19" t="e">
        <f t="shared" ca="1" si="0"/>
        <v>#REF!</v>
      </c>
      <c r="H10" s="20">
        <v>1</v>
      </c>
      <c r="I10" s="21">
        <v>3</v>
      </c>
      <c r="J10" s="22">
        <v>0</v>
      </c>
      <c r="K10" s="22">
        <f t="shared" ref="K10" si="47">MAX(I10-J10, 0)</f>
        <v>3</v>
      </c>
      <c r="L10" s="23" t="str">
        <f>IF(SUMPRODUCT($J$72:K$72,$J10:K10)&lt;0.5, "Pending", IF(K10&lt;0.5, "Complete", "In Progress"))</f>
        <v>Pending</v>
      </c>
      <c r="M10" s="22">
        <v>0</v>
      </c>
      <c r="N10" s="22">
        <f t="shared" ref="N10" si="48">MAX(K10-M10,0)</f>
        <v>3</v>
      </c>
      <c r="O10" s="23" t="str">
        <f>IF(SUMPRODUCT($J$72:N$72,$J10:N10)&lt;0.5, "Pending", IF(N10&lt;0.5, "Complete", "In Progress"))</f>
        <v>Pending</v>
      </c>
      <c r="P10" s="22">
        <v>0</v>
      </c>
      <c r="Q10" s="22">
        <f t="shared" ref="Q10" si="49">MAX(N10-P10,0)</f>
        <v>3</v>
      </c>
      <c r="R10" s="23" t="str">
        <f>IF(SUMPRODUCT($J$72:Q$72,$J10:Q10)&lt;0.5, "Pending", IF(Q10&lt;0.5, "Complete", "In Progress"))</f>
        <v>Pending</v>
      </c>
      <c r="S10" s="22">
        <v>0</v>
      </c>
      <c r="T10" s="22">
        <f t="shared" ref="T10" si="50">MAX(Q10-S10,0)</f>
        <v>3</v>
      </c>
      <c r="U10" s="23" t="str">
        <f>IF(SUMPRODUCT($J$72:T$72,$J10:T10)&lt;0.5, "Pending", IF(T10&lt;0.5, "Complete", "In Progress"))</f>
        <v>Pending</v>
      </c>
      <c r="V10" s="22">
        <v>2</v>
      </c>
      <c r="W10" s="22">
        <f t="shared" ref="W10" si="51">MAX(T10-V10,0)</f>
        <v>1</v>
      </c>
      <c r="X10" s="23" t="str">
        <f>IF(SUMPRODUCT($J$72:W$72,$J10:W10)&lt;0.5, "Pending", IF(W10&lt;0.5, "Complete", "In Progress"))</f>
        <v>In Progress</v>
      </c>
      <c r="Y10" s="22">
        <v>1</v>
      </c>
      <c r="Z10" s="22">
        <f t="shared" ref="Z10" si="52">MAX(W10-Y10,0)</f>
        <v>0</v>
      </c>
      <c r="AA10" s="23" t="str">
        <f>IF(SUMPRODUCT($J$72:Z$72,$J10:Z10)&lt;0.5, "Pending", IF(Z10&lt;0.5, "Complete", "In Progress"))</f>
        <v>Complete</v>
      </c>
      <c r="AB10" s="22">
        <v>0</v>
      </c>
      <c r="AC10" s="22">
        <f t="shared" ref="AC10" si="53">MAX(Z10-AB10,0)</f>
        <v>0</v>
      </c>
      <c r="AD10" s="23" t="str">
        <f>IF(SUMPRODUCT($J$72:AC$72,$J10:AC10)&lt;0.5, "Pending", IF(AC10&lt;0.5, "Complete", "In Progress"))</f>
        <v>Complete</v>
      </c>
      <c r="AE10" s="22">
        <v>0</v>
      </c>
      <c r="AF10" s="22">
        <f t="shared" ref="AF10" si="54">MAX(AC10-AE10,0)</f>
        <v>0</v>
      </c>
      <c r="AG10" s="23" t="str">
        <f>IF(SUMPRODUCT($J$72:AF$72,$J10:AF10)&lt;0.5, "Pending", IF(AF10&lt;0.5, "Complete", "In Progress"))</f>
        <v>Complete</v>
      </c>
      <c r="AH10" s="22">
        <v>0</v>
      </c>
      <c r="AI10" s="22">
        <f t="shared" ref="AI10" si="55">MAX(AF10-AH10,0)</f>
        <v>0</v>
      </c>
      <c r="AJ10" s="23" t="str">
        <f>IF(SUMPRODUCT($J$72:AI$72,$J10:AI10)&lt;0.5, "Pending", IF(AI10&lt;0.5, "Complete", "In Progress"))</f>
        <v>Complete</v>
      </c>
      <c r="AK10" s="22">
        <v>0</v>
      </c>
      <c r="AL10" s="22">
        <f t="shared" ref="AL10" si="56">MAX(AI10-AK10,0)</f>
        <v>0</v>
      </c>
      <c r="AM10" s="23" t="str">
        <f>IF(SUMPRODUCT($J$72:AL$72,$J10:AL10)&lt;0.5, "Pending", IF(AL10&lt;0.5, "Complete", "In Progress"))</f>
        <v>Complete</v>
      </c>
      <c r="AN10" s="22">
        <v>0</v>
      </c>
      <c r="AO10" s="22">
        <f t="shared" ref="AO10" si="57">MAX(AL10-AN10,0)</f>
        <v>0</v>
      </c>
      <c r="AP10" s="23" t="str">
        <f>IF(SUMPRODUCT($J$72:AO$72,$J10:AO10)&lt;0.5, "Pending", IF(AO10&lt;0.5, "Complete", "In Progress"))</f>
        <v>Complete</v>
      </c>
      <c r="AQ10" s="22">
        <v>0</v>
      </c>
      <c r="AR10" s="22">
        <f t="shared" ref="AR10" si="58">MAX(AO10-AQ10,0)</f>
        <v>0</v>
      </c>
      <c r="AS10" s="23" t="str">
        <f>IF(SUMPRODUCT($J$72:AR$72,$J10:AR10)&lt;0.5, "Pending", IF(AR10&lt;0.5, "Complete", "In Progress"))</f>
        <v>Complete</v>
      </c>
      <c r="AT10" s="22">
        <v>0</v>
      </c>
      <c r="AU10" s="22">
        <f t="shared" ref="AU10" si="59">MAX(AR10-AT10,0)</f>
        <v>0</v>
      </c>
      <c r="AV10" s="23" t="str">
        <f>IF(SUMPRODUCT($J$72:AU$72,$J10:AU10)&lt;0.5, "Pending", IF(AU10&lt;0.5, "Complete", "In Progress"))</f>
        <v>Complete</v>
      </c>
      <c r="AW10" s="22">
        <v>0</v>
      </c>
      <c r="AX10" s="22">
        <f t="shared" ref="AX10" si="60">MAX(AU10-AW10,0)</f>
        <v>0</v>
      </c>
      <c r="AY10" s="23" t="str">
        <f>IF(SUMPRODUCT($J$72:AX$72,$J10:AX10)&lt;0.5,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IF(SUMPRODUCT($J$72:BA$72,$J10:BA10)&lt;0.5, "Pending", IF(BA10&lt;0.5, "Complete", "In Progress"))</f>
        <v>#REF!</v>
      </c>
      <c r="BC10" s="22">
        <v>0</v>
      </c>
      <c r="BD10" s="22" t="e">
        <f t="shared" ref="BD10" si="61">MAX(BA10-BC10,0)</f>
        <v>#REF!</v>
      </c>
      <c r="BE10" s="23" t="e">
        <f>IF(SUMPRODUCT($J$72:BD$72,$J10:BD10)&lt;0.5, "Pending", IF(BD10&lt;0.5, "Complete", "In Progress"))</f>
        <v>#REF!</v>
      </c>
      <c r="BF10" s="22">
        <v>0</v>
      </c>
      <c r="BG10" s="22" t="e">
        <f t="shared" ref="BG10" si="62">MAX(BD10-BF10,0)</f>
        <v>#REF!</v>
      </c>
      <c r="BH10" s="23" t="e">
        <f>IF(SUMPRODUCT($J$72:BG$72,$J10:BG10)&lt;0.5, "Pending", IF(BG10&lt;0.5, "Complete", "In Progress"))</f>
        <v>#REF!</v>
      </c>
      <c r="BI10" s="22">
        <v>0</v>
      </c>
      <c r="BJ10" s="22" t="e">
        <f t="shared" ref="BJ10" si="63">MAX(BG10-BI10,0)</f>
        <v>#REF!</v>
      </c>
      <c r="BK10" s="23" t="e">
        <f>IF(SUMPRODUCT($J$72:BJ$72,$J10:BJ10)&lt;0.5, "Pending", IF(BJ10&lt;0.5, "Complete", "In Progress"))</f>
        <v>#REF!</v>
      </c>
      <c r="BL10" s="22">
        <v>0</v>
      </c>
      <c r="BM10" s="22" t="e">
        <f t="shared" ref="BM10" si="64">MAX(BJ10-BL10,0)</f>
        <v>#REF!</v>
      </c>
      <c r="BN10" s="23" t="e">
        <f>IF(SUMPRODUCT($J$72:BM$72,$J10:BM10)&lt;0.5, "Pending", IF(BM10&lt;0.5, "Complete", "In Progress"))</f>
        <v>#REF!</v>
      </c>
      <c r="BO10" s="22">
        <v>0</v>
      </c>
      <c r="BP10" s="22" t="e">
        <f t="shared" ref="BP10" si="65">MAX(BM10-BO10,0)</f>
        <v>#REF!</v>
      </c>
      <c r="BQ10" s="23" t="e">
        <f>IF(SUMPRODUCT($J$72:BP$72,$J10:BP10)&lt;0.5, "Pending", IF(BP10&lt;0.5, "Complete", "In Progress"))</f>
        <v>#REF!</v>
      </c>
      <c r="BR10" s="22">
        <v>0</v>
      </c>
      <c r="BS10" s="22" t="e">
        <f t="shared" ref="BS10" si="66">MAX(BP10-BR10,0)</f>
        <v>#REF!</v>
      </c>
      <c r="BT10" s="23" t="e">
        <f>IF(SUMPRODUCT($J$72:BS$72,$J10:BS10)&lt;0.5, "Pending", IF(BS10&lt;0.5, "Complete", "In Progress"))</f>
        <v>#REF!</v>
      </c>
      <c r="BU10" s="22">
        <v>0</v>
      </c>
      <c r="BV10" s="22" t="e">
        <f t="shared" ref="BV10" si="67">MAX(BS10-BU10,0)</f>
        <v>#REF!</v>
      </c>
      <c r="BW10" s="23" t="e">
        <f>IF(SUMPRODUCT($J$72:BV$72,$J10:BV10)&lt;0.5, "Pending", IF(BV10&lt;0.5, "Complete", "In Progress"))</f>
        <v>#REF!</v>
      </c>
      <c r="BX10" s="22">
        <v>0</v>
      </c>
      <c r="BY10" s="22" t="e">
        <f t="shared" ref="BY10" si="68">MAX(BV10-BX10,0)</f>
        <v>#REF!</v>
      </c>
      <c r="BZ10" s="23" t="e">
        <f>IF(SUMPRODUCT($J$72:BY$72,$J10:BY10)&lt;0.5, "Pending", IF(BY10&lt;0.5, "Complete", "In Progress"))</f>
        <v>#REF!</v>
      </c>
      <c r="CA10" s="22">
        <v>0</v>
      </c>
      <c r="CB10" s="22" t="e">
        <f t="shared" ref="CB10" si="69">MAX(BY10-CA10,0)</f>
        <v>#REF!</v>
      </c>
      <c r="CC10" s="23" t="e">
        <f>IF(SUMPRODUCT($J$72:CB$72,$J10:CB10)&lt;0.5, "Pending", IF(CB10&lt;0.5, "Complete", "In Progress"))</f>
        <v>#REF!</v>
      </c>
      <c r="CD10" s="24"/>
      <c r="CE10" s="25">
        <f>SUMPRODUCT($H$72:AY$72,$H10:AY10)</f>
        <v>3</v>
      </c>
    </row>
    <row r="11" spans="1:83" x14ac:dyDescent="0.2">
      <c r="A11" s="16" t="s">
        <v>105</v>
      </c>
      <c r="B11" s="16" t="s">
        <v>122</v>
      </c>
      <c r="C11" s="16"/>
      <c r="D11" s="17">
        <v>8</v>
      </c>
      <c r="E11" s="178" t="s">
        <v>164</v>
      </c>
      <c r="F11" s="18" t="s">
        <v>144</v>
      </c>
      <c r="G11" s="19" t="e">
        <f t="shared" ca="1" si="0"/>
        <v>#REF!</v>
      </c>
      <c r="H11" s="20">
        <v>1</v>
      </c>
      <c r="I11" s="21">
        <v>5</v>
      </c>
      <c r="J11" s="22">
        <v>0</v>
      </c>
      <c r="K11" s="22">
        <f t="shared" si="24"/>
        <v>5</v>
      </c>
      <c r="L11" s="23" t="str">
        <f>IF(SUMPRODUCT($J$72:K$72,$J11:K11)&lt;0.5, "Pending", IF(K11&lt;0.5, "Complete", "In Progress"))</f>
        <v>Pending</v>
      </c>
      <c r="M11" s="22">
        <v>0</v>
      </c>
      <c r="N11" s="22">
        <f t="shared" si="25"/>
        <v>5</v>
      </c>
      <c r="O11" s="23" t="str">
        <f>IF(SUMPRODUCT($J$72:N$72,$J11:N11)&lt;0.5, "Pending", IF(N11&lt;0.5, "Complete", "In Progress"))</f>
        <v>Pending</v>
      </c>
      <c r="P11" s="22">
        <v>0</v>
      </c>
      <c r="Q11" s="22">
        <f t="shared" si="26"/>
        <v>5</v>
      </c>
      <c r="R11" s="23" t="str">
        <f>IF(SUMPRODUCT($J$72:Q$72,$J11:Q11)&lt;0.5, "Pending", IF(Q11&lt;0.5, "Complete", "In Progress"))</f>
        <v>Pending</v>
      </c>
      <c r="S11" s="22">
        <v>0</v>
      </c>
      <c r="T11" s="22">
        <f t="shared" si="27"/>
        <v>5</v>
      </c>
      <c r="U11" s="23" t="str">
        <f>IF(SUMPRODUCT($J$72:T$72,$J11:T11)&lt;0.5, "Pending", IF(T11&lt;0.5, "Complete", "In Progress"))</f>
        <v>Pending</v>
      </c>
      <c r="V11" s="22">
        <v>0</v>
      </c>
      <c r="W11" s="22">
        <f t="shared" si="28"/>
        <v>5</v>
      </c>
      <c r="X11" s="23" t="str">
        <f>IF(SUMPRODUCT($J$72:W$72,$J11:W11)&lt;0.5, "Pending", IF(W11&lt;0.5, "Complete", "In Progress"))</f>
        <v>Pending</v>
      </c>
      <c r="Y11" s="22">
        <v>0</v>
      </c>
      <c r="Z11" s="22">
        <f t="shared" si="29"/>
        <v>5</v>
      </c>
      <c r="AA11" s="23" t="str">
        <f>IF(SUMPRODUCT($J$72:Z$72,$J11:Z11)&lt;0.5, "Pending", IF(Z11&lt;0.5, "Complete", "In Progress"))</f>
        <v>Pending</v>
      </c>
      <c r="AB11" s="22">
        <v>2</v>
      </c>
      <c r="AC11" s="22">
        <f t="shared" si="30"/>
        <v>3</v>
      </c>
      <c r="AD11" s="23" t="str">
        <f>IF(SUMPRODUCT($J$72:AC$72,$J11:AC11)&lt;0.5, "Pending", IF(AC11&lt;0.5, "Complete", "In Progress"))</f>
        <v>In Progress</v>
      </c>
      <c r="AE11" s="22">
        <v>2</v>
      </c>
      <c r="AF11" s="22">
        <f t="shared" si="31"/>
        <v>1</v>
      </c>
      <c r="AG11" s="23" t="str">
        <f>IF(SUMPRODUCT($J$72:AF$72,$J11:AF11)&lt;0.5, "Pending", IF(AF11&lt;0.5, "Complete", "In Progress"))</f>
        <v>In Progress</v>
      </c>
      <c r="AH11" s="22">
        <v>1</v>
      </c>
      <c r="AI11" s="22">
        <f t="shared" si="32"/>
        <v>0</v>
      </c>
      <c r="AJ11" s="23" t="str">
        <f>IF(SUMPRODUCT($J$72:AI$72,$J11:AI11)&lt;0.5, "Pending", IF(AI11&lt;0.5, "Complete", "In Progress"))</f>
        <v>Complete</v>
      </c>
      <c r="AK11" s="22">
        <v>0</v>
      </c>
      <c r="AL11" s="22">
        <f t="shared" si="33"/>
        <v>0</v>
      </c>
      <c r="AM11" s="23" t="str">
        <f>IF(SUMPRODUCT($J$72:AL$72,$J11:AL11)&lt;0.5,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IF(SUMPRODUCT($J$72:AO$72,$J11:AO11)&lt;0.5,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IF(SUMPRODUCT($J$72:AR$72,$J11:AR11)&lt;0.5,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IF(SUMPRODUCT($J$72:AU$72,$J11:AU11)&lt;0.5,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IF(SUMPRODUCT($J$72:AX$72,$J11:AX11)&lt;0.5,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IF(SUMPRODUCT($J$72:BA$72,$J11:BA11)&lt;0.5,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IF(SUMPRODUCT($J$72:BD$72,$J11:BD11)&lt;0.5,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IF(SUMPRODUCT($J$72:BG$72,$J11:BG11)&lt;0.5,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IF(SUMPRODUCT($J$72:BJ$72,$J11:BJ11)&lt;0.5,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IF(SUMPRODUCT($J$72:BM$72,$J11:BM11)&lt;0.5,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IF(SUMPRODUCT($J$72:BP$72,$J11:BP11)&lt;0.5,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IF(SUMPRODUCT($J$72:BS$72,$J11:BS11)&lt;0.5,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IF(SUMPRODUCT($J$72:BV$72,$J11:BV11)&lt;0.5,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IF(SUMPRODUCT($J$72:BY$72,$J11:BY11)&lt;0.5,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IF(SUMPRODUCT($J$72:CB$72,$J11:CB11)&lt;0.5, "Pending", IF(CB11&lt;0.5, "Complete", "In Progress"))</f>
        <v>#REF!</v>
      </c>
      <c r="CD11" s="24"/>
      <c r="CE11" s="25">
        <f>SUMPRODUCT($H$72:AY$72,$H11:AY11)</f>
        <v>5</v>
      </c>
    </row>
    <row r="12" spans="1:83" x14ac:dyDescent="0.2">
      <c r="A12" s="16" t="s">
        <v>105</v>
      </c>
      <c r="B12" s="16" t="s">
        <v>122</v>
      </c>
      <c r="C12" s="16"/>
      <c r="D12" s="17">
        <v>9</v>
      </c>
      <c r="E12" s="178" t="s">
        <v>165</v>
      </c>
      <c r="F12" s="18" t="s">
        <v>144</v>
      </c>
      <c r="G12" s="19" t="e">
        <f t="shared" ca="1" si="0"/>
        <v>#REF!</v>
      </c>
      <c r="H12" s="20">
        <v>1</v>
      </c>
      <c r="I12" s="21">
        <v>4</v>
      </c>
      <c r="J12" s="22">
        <v>0</v>
      </c>
      <c r="K12" s="22">
        <f t="shared" si="24"/>
        <v>4</v>
      </c>
      <c r="L12" s="23" t="str">
        <f>IF(SUMPRODUCT($J$72:K$72,$J12:K12)&lt;0.5, "Pending", IF(K12&lt;0.5, "Complete", "In Progress"))</f>
        <v>Pending</v>
      </c>
      <c r="M12" s="22">
        <v>0</v>
      </c>
      <c r="N12" s="22">
        <f t="shared" si="25"/>
        <v>4</v>
      </c>
      <c r="O12" s="23" t="str">
        <f>IF(SUMPRODUCT($J$72:N$72,$J12:N12)&lt;0.5, "Pending", IF(N12&lt;0.5, "Complete", "In Progress"))</f>
        <v>Pending</v>
      </c>
      <c r="P12" s="22">
        <v>0</v>
      </c>
      <c r="Q12" s="22">
        <f t="shared" si="26"/>
        <v>4</v>
      </c>
      <c r="R12" s="23" t="str">
        <f>IF(SUMPRODUCT($J$72:Q$72,$J12:Q12)&lt;0.5, "Pending", IF(Q12&lt;0.5, "Complete", "In Progress"))</f>
        <v>Pending</v>
      </c>
      <c r="S12" s="22">
        <v>0</v>
      </c>
      <c r="T12" s="22">
        <f t="shared" si="27"/>
        <v>4</v>
      </c>
      <c r="U12" s="23" t="str">
        <f>IF(SUMPRODUCT($J$72:T$72,$J12:T12)&lt;0.5, "Pending", IF(T12&lt;0.5, "Complete", "In Progress"))</f>
        <v>Pending</v>
      </c>
      <c r="V12" s="22">
        <v>0</v>
      </c>
      <c r="W12" s="22">
        <f t="shared" si="28"/>
        <v>4</v>
      </c>
      <c r="X12" s="23" t="str">
        <f>IF(SUMPRODUCT($J$72:W$72,$J12:W12)&lt;0.5, "Pending", IF(W12&lt;0.5, "Complete", "In Progress"))</f>
        <v>Pending</v>
      </c>
      <c r="Y12" s="22">
        <v>0</v>
      </c>
      <c r="Z12" s="22">
        <f t="shared" si="29"/>
        <v>4</v>
      </c>
      <c r="AA12" s="23" t="str">
        <f>IF(SUMPRODUCT($J$72:Z$72,$J12:Z12)&lt;0.5, "Pending", IF(Z12&lt;0.5, "Complete", "In Progress"))</f>
        <v>Pending</v>
      </c>
      <c r="AB12" s="22">
        <v>0</v>
      </c>
      <c r="AC12" s="22">
        <f t="shared" si="30"/>
        <v>4</v>
      </c>
      <c r="AD12" s="23" t="str">
        <f>IF(SUMPRODUCT($J$72:AC$72,$J12:AC12)&lt;0.5, "Pending", IF(AC12&lt;0.5, "Complete", "In Progress"))</f>
        <v>Pending</v>
      </c>
      <c r="AE12" s="22">
        <v>0</v>
      </c>
      <c r="AF12" s="22">
        <f t="shared" si="31"/>
        <v>4</v>
      </c>
      <c r="AG12" s="23" t="str">
        <f>IF(SUMPRODUCT($J$72:AF$72,$J12:AF12)&lt;0.5, "Pending", IF(AF12&lt;0.5, "Complete", "In Progress"))</f>
        <v>Pending</v>
      </c>
      <c r="AH12" s="22">
        <v>1</v>
      </c>
      <c r="AI12" s="22">
        <f t="shared" si="32"/>
        <v>3</v>
      </c>
      <c r="AJ12" s="23" t="str">
        <f>IF(SUMPRODUCT($J$72:AI$72,$J12:AI12)&lt;0.5, "Pending", IF(AI12&lt;0.5, "Complete", "In Progress"))</f>
        <v>In Progress</v>
      </c>
      <c r="AK12" s="22">
        <v>3</v>
      </c>
      <c r="AL12" s="22">
        <f t="shared" si="33"/>
        <v>0</v>
      </c>
      <c r="AM12" s="23" t="str">
        <f>IF(SUMPRODUCT($J$72:AL$72,$J12:AL12)&lt;0.5, "Pending", IF(AL12&lt;0.5, "Complete", "In Progress"))</f>
        <v>Complete</v>
      </c>
      <c r="AN12" s="22">
        <v>0</v>
      </c>
      <c r="AO12" s="22">
        <f t="shared" si="34"/>
        <v>0</v>
      </c>
      <c r="AP12" s="23" t="str">
        <f>IF(SUMPRODUCT($J$72:AO$72,$J12:AO12)&lt;0.5, "Pending", IF(AO12&lt;0.5, "Complete", "In Progress"))</f>
        <v>Complete</v>
      </c>
      <c r="AQ12" s="22">
        <v>0</v>
      </c>
      <c r="AR12" s="22">
        <f t="shared" si="35"/>
        <v>0</v>
      </c>
      <c r="AS12" s="23" t="str">
        <f>IF(SUMPRODUCT($J$72:AR$72,$J12:AR12)&lt;0.5, "Pending", IF(AR12&lt;0.5, "Complete", "In Progress"))</f>
        <v>Complete</v>
      </c>
      <c r="AT12" s="22">
        <v>0</v>
      </c>
      <c r="AU12" s="22">
        <f t="shared" si="36"/>
        <v>0</v>
      </c>
      <c r="AV12" s="23" t="str">
        <f>IF(SUMPRODUCT($J$72:AU$72,$J12:AU12)&lt;0.5, "Pending", IF(AU12&lt;0.5, "Complete", "In Progress"))</f>
        <v>Complete</v>
      </c>
      <c r="AW12" s="22">
        <v>0</v>
      </c>
      <c r="AX12" s="22">
        <f t="shared" si="37"/>
        <v>0</v>
      </c>
      <c r="AY12" s="23" t="str">
        <f>IF(SUMPRODUCT($J$72:AX$72,$J12:AX12)&lt;0.5,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IF(SUMPRODUCT($J$72:BA$72,$J12:BA12)&lt;0.5,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IF(SUMPRODUCT($J$72:BD$72,$J12:BD12)&lt;0.5,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IF(SUMPRODUCT($J$72:BG$72,$J12:BG12)&lt;0.5,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IF(SUMPRODUCT($J$72:BJ$72,$J12:BJ12)&lt;0.5,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IF(SUMPRODUCT($J$72:BM$72,$J12:BM12)&lt;0.5,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IF(SUMPRODUCT($J$72:BP$72,$J12:BP12)&lt;0.5,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IF(SUMPRODUCT($J$72:BS$72,$J12:BS12)&lt;0.5,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IF(SUMPRODUCT($J$72:BV$72,$J12:BV12)&lt;0.5,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IF(SUMPRODUCT($J$72:BY$72,$J12:BY12)&lt;0.5,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IF(SUMPRODUCT($J$72:CB$72,$J12:CB12)&lt;0.5, "Pending", IF(CB12&lt;0.5, "Complete", "In Progress"))</f>
        <v>#REF!</v>
      </c>
      <c r="CD12" s="24"/>
      <c r="CE12" s="25">
        <f>SUMPRODUCT($H$72:AY$72,$H12:AY12)</f>
        <v>4</v>
      </c>
    </row>
    <row r="13" spans="1:83" x14ac:dyDescent="0.2">
      <c r="A13" s="16" t="s">
        <v>105</v>
      </c>
      <c r="B13" s="16" t="s">
        <v>122</v>
      </c>
      <c r="C13" s="16" t="s">
        <v>136</v>
      </c>
      <c r="D13" s="17">
        <v>10</v>
      </c>
      <c r="E13" s="178" t="s">
        <v>137</v>
      </c>
      <c r="F13" s="18" t="s">
        <v>146</v>
      </c>
      <c r="G13" s="19" t="e">
        <f t="shared" ca="1" si="0"/>
        <v>#REF!</v>
      </c>
      <c r="H13" s="20">
        <v>1</v>
      </c>
      <c r="I13" s="21">
        <v>6</v>
      </c>
      <c r="J13" s="22">
        <v>0</v>
      </c>
      <c r="K13" s="22">
        <f t="shared" si="24"/>
        <v>6</v>
      </c>
      <c r="L13" s="23" t="str">
        <f>IF(SUMPRODUCT($J$72:K$72,$J13:K13)&lt;0.5, "Pending", IF(K13&lt;0.5, "Complete", "In Progress"))</f>
        <v>Pending</v>
      </c>
      <c r="M13" s="22">
        <v>0</v>
      </c>
      <c r="N13" s="22">
        <f t="shared" si="25"/>
        <v>6</v>
      </c>
      <c r="O13" s="23" t="str">
        <f>IF(SUMPRODUCT($J$72:N$72,$J13:N13)&lt;0.5, "Pending", IF(N13&lt;0.5, "Complete", "In Progress"))</f>
        <v>Pending</v>
      </c>
      <c r="P13" s="22">
        <v>0</v>
      </c>
      <c r="Q13" s="22">
        <f t="shared" si="26"/>
        <v>6</v>
      </c>
      <c r="R13" s="23" t="str">
        <f>IF(SUMPRODUCT($J$72:Q$72,$J13:Q13)&lt;0.5, "Pending", IF(Q13&lt;0.5, "Complete", "In Progress"))</f>
        <v>Pending</v>
      </c>
      <c r="S13" s="22">
        <v>0</v>
      </c>
      <c r="T13" s="22">
        <f t="shared" si="27"/>
        <v>6</v>
      </c>
      <c r="U13" s="23" t="str">
        <f>IF(SUMPRODUCT($J$72:T$72,$J13:T13)&lt;0.5, "Pending", IF(T13&lt;0.5, "Complete", "In Progress"))</f>
        <v>Pending</v>
      </c>
      <c r="V13" s="22">
        <v>0</v>
      </c>
      <c r="W13" s="22">
        <f t="shared" si="28"/>
        <v>6</v>
      </c>
      <c r="X13" s="23" t="str">
        <f>IF(SUMPRODUCT($J$72:W$72,$J13:W13)&lt;0.5, "Pending", IF(W13&lt;0.5, "Complete", "In Progress"))</f>
        <v>Pending</v>
      </c>
      <c r="Y13" s="22">
        <v>0</v>
      </c>
      <c r="Z13" s="22">
        <f t="shared" si="29"/>
        <v>6</v>
      </c>
      <c r="AA13" s="23" t="str">
        <f>IF(SUMPRODUCT($J$72:Z$72,$J13:Z13)&lt;0.5, "Pending", IF(Z13&lt;0.5, "Complete", "In Progress"))</f>
        <v>Pending</v>
      </c>
      <c r="AB13" s="22">
        <v>0</v>
      </c>
      <c r="AC13" s="22">
        <f t="shared" si="30"/>
        <v>6</v>
      </c>
      <c r="AD13" s="23" t="str">
        <f>IF(SUMPRODUCT($J$72:AC$72,$J13:AC13)&lt;0.5, "Pending", IF(AC13&lt;0.5, "Complete", "In Progress"))</f>
        <v>Pending</v>
      </c>
      <c r="AE13" s="22">
        <v>2</v>
      </c>
      <c r="AF13" s="22">
        <f t="shared" si="31"/>
        <v>4</v>
      </c>
      <c r="AG13" s="23" t="str">
        <f>IF(SUMPRODUCT($J$72:AF$72,$J13:AF13)&lt;0.5, "Pending", IF(AF13&lt;0.5, "Complete", "In Progress"))</f>
        <v>In Progress</v>
      </c>
      <c r="AH13" s="22">
        <v>2</v>
      </c>
      <c r="AI13" s="22">
        <f t="shared" si="32"/>
        <v>2</v>
      </c>
      <c r="AJ13" s="23" t="str">
        <f>IF(SUMPRODUCT($J$72:AI$72,$J13:AI13)&lt;0.5, "Pending", IF(AI13&lt;0.5, "Complete", "In Progress"))</f>
        <v>In Progress</v>
      </c>
      <c r="AK13" s="22">
        <v>2</v>
      </c>
      <c r="AL13" s="22">
        <f t="shared" si="33"/>
        <v>0</v>
      </c>
      <c r="AM13" s="23" t="str">
        <f>IF(SUMPRODUCT($J$72:AL$72,$J13:AL13)&lt;0.5, "Pending", IF(AL13&lt;0.5, "Complete", "In Progress"))</f>
        <v>Complete</v>
      </c>
      <c r="AN13" s="22">
        <v>0</v>
      </c>
      <c r="AO13" s="22">
        <f t="shared" si="34"/>
        <v>0</v>
      </c>
      <c r="AP13" s="23" t="str">
        <f>IF(SUMPRODUCT($J$72:AO$72,$J13:AO13)&lt;0.5, "Pending", IF(AO13&lt;0.5, "Complete", "In Progress"))</f>
        <v>Complete</v>
      </c>
      <c r="AQ13" s="22">
        <v>0</v>
      </c>
      <c r="AR13" s="22">
        <f t="shared" si="35"/>
        <v>0</v>
      </c>
      <c r="AS13" s="23" t="str">
        <f>IF(SUMPRODUCT($J$72:AR$72,$J13:AR13)&lt;0.5, "Pending", IF(AR13&lt;0.5, "Complete", "In Progress"))</f>
        <v>Complete</v>
      </c>
      <c r="AT13" s="22">
        <v>0</v>
      </c>
      <c r="AU13" s="22">
        <f t="shared" si="36"/>
        <v>0</v>
      </c>
      <c r="AV13" s="23" t="str">
        <f>IF(SUMPRODUCT($J$72:AU$72,$J13:AU13)&lt;0.5, "Pending", IF(AU13&lt;0.5, "Complete", "In Progress"))</f>
        <v>Complete</v>
      </c>
      <c r="AW13" s="22">
        <v>0</v>
      </c>
      <c r="AX13" s="22">
        <f t="shared" si="37"/>
        <v>0</v>
      </c>
      <c r="AY13" s="23" t="str">
        <f>IF(SUMPRODUCT($J$72:AX$72,$J13:AX13)&lt;0.5,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IF(SUMPRODUCT($J$72:BA$72,$J13:BA13)&lt;0.5,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IF(SUMPRODUCT($J$72:BD$72,$J13:BD13)&lt;0.5,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IF(SUMPRODUCT($J$72:BG$72,$J13:BG13)&lt;0.5,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IF(SUMPRODUCT($J$72:BJ$72,$J13:BJ13)&lt;0.5,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IF(SUMPRODUCT($J$72:BM$72,$J13:BM13)&lt;0.5,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IF(SUMPRODUCT($J$72:BP$72,$J13:BP13)&lt;0.5,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IF(SUMPRODUCT($J$72:BS$72,$J13:BS13)&lt;0.5,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IF(SUMPRODUCT($J$72:BV$72,$J13:BV13)&lt;0.5,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IF(SUMPRODUCT($J$72:BY$72,$J13:BY13)&lt;0.5,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IF(SUMPRODUCT($J$72:CB$72,$J13:CB13)&lt;0.5, "Pending", IF(CB13&lt;0.5, "Complete", "In Progress"))</f>
        <v>#REF!</v>
      </c>
      <c r="CD13" s="24"/>
      <c r="CE13" s="25">
        <f>SUMPRODUCT($H$72:AY$72,$H13:AY13)</f>
        <v>6</v>
      </c>
    </row>
    <row r="14" spans="1:83" x14ac:dyDescent="0.2">
      <c r="A14" s="16" t="s">
        <v>108</v>
      </c>
      <c r="B14" s="16" t="s">
        <v>124</v>
      </c>
      <c r="C14" s="16"/>
      <c r="D14" s="17">
        <v>11</v>
      </c>
      <c r="E14" s="178" t="s">
        <v>138</v>
      </c>
      <c r="F14" s="18" t="s">
        <v>152</v>
      </c>
      <c r="G14" s="19" t="e">
        <f t="shared" ca="1" si="0"/>
        <v>#REF!</v>
      </c>
      <c r="H14" s="20">
        <v>1</v>
      </c>
      <c r="I14" s="21">
        <v>6</v>
      </c>
      <c r="J14" s="22">
        <v>0</v>
      </c>
      <c r="K14" s="22">
        <f t="shared" si="24"/>
        <v>6</v>
      </c>
      <c r="L14" s="23" t="str">
        <f>IF(SUMPRODUCT($J$72:K$72,$J14:K14)&lt;0.5, "Pending", IF(K14&lt;0.5, "Complete", "In Progress"))</f>
        <v>Pending</v>
      </c>
      <c r="M14" s="22">
        <v>0</v>
      </c>
      <c r="N14" s="22">
        <f t="shared" si="25"/>
        <v>6</v>
      </c>
      <c r="O14" s="23" t="str">
        <f>IF(SUMPRODUCT($J$72:N$72,$J14:N14)&lt;0.5, "Pending", IF(N14&lt;0.5, "Complete", "In Progress"))</f>
        <v>Pending</v>
      </c>
      <c r="P14" s="22">
        <v>0</v>
      </c>
      <c r="Q14" s="22">
        <f t="shared" si="26"/>
        <v>6</v>
      </c>
      <c r="R14" s="23" t="str">
        <f>IF(SUMPRODUCT($J$72:Q$72,$J14:Q14)&lt;0.5, "Pending", IF(Q14&lt;0.5, "Complete", "In Progress"))</f>
        <v>Pending</v>
      </c>
      <c r="S14" s="22">
        <v>0</v>
      </c>
      <c r="T14" s="22">
        <f t="shared" si="27"/>
        <v>6</v>
      </c>
      <c r="U14" s="23" t="str">
        <f>IF(SUMPRODUCT($J$72:T$72,$J14:T14)&lt;0.5, "Pending", IF(T14&lt;0.5, "Complete", "In Progress"))</f>
        <v>Pending</v>
      </c>
      <c r="V14" s="22">
        <v>0</v>
      </c>
      <c r="W14" s="22">
        <f t="shared" si="28"/>
        <v>6</v>
      </c>
      <c r="X14" s="23" t="str">
        <f>IF(SUMPRODUCT($J$72:W$72,$J14:W14)&lt;0.5, "Pending", IF(W14&lt;0.5, "Complete", "In Progress"))</f>
        <v>Pending</v>
      </c>
      <c r="Y14" s="22">
        <v>1</v>
      </c>
      <c r="Z14" s="22">
        <f t="shared" si="29"/>
        <v>5</v>
      </c>
      <c r="AA14" s="23" t="str">
        <f>IF(SUMPRODUCT($J$72:Z$72,$J14:Z14)&lt;0.5, "Pending", IF(Z14&lt;0.5, "Complete", "In Progress"))</f>
        <v>In Progress</v>
      </c>
      <c r="AB14" s="22">
        <v>2</v>
      </c>
      <c r="AC14" s="22">
        <f t="shared" si="30"/>
        <v>3</v>
      </c>
      <c r="AD14" s="23" t="str">
        <f>IF(SUMPRODUCT($J$72:AC$72,$J14:AC14)&lt;0.5, "Pending", IF(AC14&lt;0.5, "Complete", "In Progress"))</f>
        <v>In Progress</v>
      </c>
      <c r="AE14" s="22">
        <v>2</v>
      </c>
      <c r="AF14" s="22">
        <f t="shared" si="31"/>
        <v>1</v>
      </c>
      <c r="AG14" s="23" t="str">
        <f>IF(SUMPRODUCT($J$72:AF$72,$J14:AF14)&lt;0.5, "Pending", IF(AF14&lt;0.5, "Complete", "In Progress"))</f>
        <v>In Progress</v>
      </c>
      <c r="AH14" s="22">
        <v>1</v>
      </c>
      <c r="AI14" s="22">
        <f t="shared" si="32"/>
        <v>0</v>
      </c>
      <c r="AJ14" s="23" t="str">
        <f>IF(SUMPRODUCT($J$72:AI$72,$J14:AI14)&lt;0.5, "Pending", IF(AI14&lt;0.5, "Complete", "In Progress"))</f>
        <v>Complete</v>
      </c>
      <c r="AK14" s="22">
        <v>0</v>
      </c>
      <c r="AL14" s="22">
        <f t="shared" si="33"/>
        <v>0</v>
      </c>
      <c r="AM14" s="23" t="str">
        <f>IF(SUMPRODUCT($J$72:AL$72,$J14:AL14)&lt;0.5, "Pending", IF(AL14&lt;0.5, "Complete", "In Progress"))</f>
        <v>Complete</v>
      </c>
      <c r="AN14" s="22">
        <v>0</v>
      </c>
      <c r="AO14" s="22">
        <f t="shared" si="34"/>
        <v>0</v>
      </c>
      <c r="AP14" s="23" t="str">
        <f>IF(SUMPRODUCT($J$72:AO$72,$J14:AO14)&lt;0.5, "Pending", IF(AO14&lt;0.5, "Complete", "In Progress"))</f>
        <v>Complete</v>
      </c>
      <c r="AQ14" s="22">
        <v>0</v>
      </c>
      <c r="AR14" s="22">
        <f t="shared" si="35"/>
        <v>0</v>
      </c>
      <c r="AS14" s="23" t="str">
        <f>IF(SUMPRODUCT($J$72:AR$72,$J14:AR14)&lt;0.5, "Pending", IF(AR14&lt;0.5, "Complete", "In Progress"))</f>
        <v>Complete</v>
      </c>
      <c r="AT14" s="22">
        <v>0</v>
      </c>
      <c r="AU14" s="22">
        <f t="shared" si="36"/>
        <v>0</v>
      </c>
      <c r="AV14" s="23" t="str">
        <f>IF(SUMPRODUCT($J$72:AU$72,$J14:AU14)&lt;0.5, "Pending", IF(AU14&lt;0.5, "Complete", "In Progress"))</f>
        <v>Complete</v>
      </c>
      <c r="AW14" s="22">
        <v>0</v>
      </c>
      <c r="AX14" s="22">
        <f t="shared" si="37"/>
        <v>0</v>
      </c>
      <c r="AY14" s="23" t="str">
        <f>IF(SUMPRODUCT($J$72:AX$72,$J14:AX14)&lt;0.5,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IF(SUMPRODUCT($J$72:BA$72,$J14:BA14)&lt;0.5,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IF(SUMPRODUCT($J$72:BD$72,$J14:BD14)&lt;0.5,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IF(SUMPRODUCT($J$72:BG$72,$J14:BG14)&lt;0.5,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IF(SUMPRODUCT($J$72:BJ$72,$J14:BJ14)&lt;0.5,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IF(SUMPRODUCT($J$72:BM$72,$J14:BM14)&lt;0.5,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IF(SUMPRODUCT($J$72:BP$72,$J14:BP14)&lt;0.5,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IF(SUMPRODUCT($J$72:BS$72,$J14:BS14)&lt;0.5,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IF(SUMPRODUCT($J$72:BV$72,$J14:BV14)&lt;0.5,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IF(SUMPRODUCT($J$72:BY$72,$J14:BY14)&lt;0.5,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IF(SUMPRODUCT($J$72:CB$72,$J14:CB14)&lt;0.5, "Pending", IF(CB14&lt;0.5, "Complete", "In Progress"))</f>
        <v>#REF!</v>
      </c>
      <c r="CD14" s="24"/>
      <c r="CE14" s="25">
        <f>SUMPRODUCT($H$72:AY$72,$H14:AY14)</f>
        <v>6</v>
      </c>
    </row>
    <row r="15" spans="1:83" x14ac:dyDescent="0.2">
      <c r="A15" s="16" t="s">
        <v>108</v>
      </c>
      <c r="B15" s="16" t="s">
        <v>124</v>
      </c>
      <c r="C15" s="16"/>
      <c r="D15" s="17">
        <v>12</v>
      </c>
      <c r="E15" s="178" t="s">
        <v>139</v>
      </c>
      <c r="F15" s="18" t="s">
        <v>156</v>
      </c>
      <c r="G15" s="19" t="e">
        <f t="shared" ca="1" si="0"/>
        <v>#REF!</v>
      </c>
      <c r="H15" s="20">
        <v>1</v>
      </c>
      <c r="I15" s="21">
        <v>5</v>
      </c>
      <c r="J15" s="22">
        <v>0</v>
      </c>
      <c r="K15" s="22">
        <f t="shared" si="24"/>
        <v>5</v>
      </c>
      <c r="L15" s="23" t="str">
        <f>IF(SUMPRODUCT($J$72:K$72,$J15:K15)&lt;0.5, "Pending", IF(K15&lt;0.5, "Complete", "In Progress"))</f>
        <v>Pending</v>
      </c>
      <c r="M15" s="22">
        <v>0</v>
      </c>
      <c r="N15" s="22">
        <f t="shared" si="25"/>
        <v>5</v>
      </c>
      <c r="O15" s="23" t="str">
        <f>IF(SUMPRODUCT($J$72:N$72,$J15:N15)&lt;0.5, "Pending", IF(N15&lt;0.5, "Complete", "In Progress"))</f>
        <v>Pending</v>
      </c>
      <c r="P15" s="22">
        <v>0</v>
      </c>
      <c r="Q15" s="22">
        <f t="shared" si="26"/>
        <v>5</v>
      </c>
      <c r="R15" s="23" t="str">
        <f>IF(SUMPRODUCT($J$72:Q$72,$J15:Q15)&lt;0.5, "Pending", IF(Q15&lt;0.5, "Complete", "In Progress"))</f>
        <v>Pending</v>
      </c>
      <c r="S15" s="22">
        <v>0</v>
      </c>
      <c r="T15" s="22">
        <f t="shared" si="27"/>
        <v>5</v>
      </c>
      <c r="U15" s="23" t="str">
        <f>IF(SUMPRODUCT($J$72:T$72,$J15:T15)&lt;0.5, "Pending", IF(T15&lt;0.5, "Complete", "In Progress"))</f>
        <v>Pending</v>
      </c>
      <c r="V15" s="22">
        <v>0</v>
      </c>
      <c r="W15" s="22">
        <f t="shared" si="28"/>
        <v>5</v>
      </c>
      <c r="X15" s="23" t="str">
        <f>IF(SUMPRODUCT($J$72:W$72,$J15:W15)&lt;0.5, "Pending", IF(W15&lt;0.5, "Complete", "In Progress"))</f>
        <v>Pending</v>
      </c>
      <c r="Y15" s="22">
        <v>0</v>
      </c>
      <c r="Z15" s="22">
        <f t="shared" si="29"/>
        <v>5</v>
      </c>
      <c r="AA15" s="23" t="str">
        <f>IF(SUMPRODUCT($J$72:Z$72,$J15:Z15)&lt;0.5, "Pending", IF(Z15&lt;0.5, "Complete", "In Progress"))</f>
        <v>Pending</v>
      </c>
      <c r="AB15" s="22">
        <v>0</v>
      </c>
      <c r="AC15" s="22">
        <f t="shared" si="30"/>
        <v>5</v>
      </c>
      <c r="AD15" s="23" t="str">
        <f>IF(SUMPRODUCT($J$72:AC$72,$J15:AC15)&lt;0.5, "Pending", IF(AC15&lt;0.5, "Complete", "In Progress"))</f>
        <v>Pending</v>
      </c>
      <c r="AE15" s="22">
        <v>0</v>
      </c>
      <c r="AF15" s="22">
        <f t="shared" si="31"/>
        <v>5</v>
      </c>
      <c r="AG15" s="23" t="str">
        <f>IF(SUMPRODUCT($J$72:AF$72,$J15:AF15)&lt;0.5, "Pending", IF(AF15&lt;0.5, "Complete", "In Progress"))</f>
        <v>Pending</v>
      </c>
      <c r="AH15" s="22">
        <v>2</v>
      </c>
      <c r="AI15" s="22">
        <f t="shared" si="32"/>
        <v>3</v>
      </c>
      <c r="AJ15" s="23" t="str">
        <f>IF(SUMPRODUCT($J$72:AI$72,$J15:AI15)&lt;0.5, "Pending", IF(AI15&lt;0.5, "Complete", "In Progress"))</f>
        <v>In Progress</v>
      </c>
      <c r="AK15" s="22">
        <v>3</v>
      </c>
      <c r="AL15" s="22">
        <f t="shared" si="33"/>
        <v>0</v>
      </c>
      <c r="AM15" s="23" t="str">
        <f>IF(SUMPRODUCT($J$72:AL$72,$J15:AL15)&lt;0.5, "Pending", IF(AL15&lt;0.5, "Complete", "In Progress"))</f>
        <v>Complete</v>
      </c>
      <c r="AN15" s="22">
        <v>0</v>
      </c>
      <c r="AO15" s="22">
        <f t="shared" si="34"/>
        <v>0</v>
      </c>
      <c r="AP15" s="23" t="str">
        <f>IF(SUMPRODUCT($J$72:AO$72,$J15:AO15)&lt;0.5, "Pending", IF(AO15&lt;0.5, "Complete", "In Progress"))</f>
        <v>Complete</v>
      </c>
      <c r="AQ15" s="22">
        <v>0</v>
      </c>
      <c r="AR15" s="22">
        <f t="shared" si="35"/>
        <v>0</v>
      </c>
      <c r="AS15" s="23" t="str">
        <f>IF(SUMPRODUCT($J$72:AR$72,$J15:AR15)&lt;0.5, "Pending", IF(AR15&lt;0.5, "Complete", "In Progress"))</f>
        <v>Complete</v>
      </c>
      <c r="AT15" s="22">
        <v>0</v>
      </c>
      <c r="AU15" s="22">
        <f t="shared" si="36"/>
        <v>0</v>
      </c>
      <c r="AV15" s="23" t="str">
        <f>IF(SUMPRODUCT($J$72:AU$72,$J15:AU15)&lt;0.5, "Pending", IF(AU15&lt;0.5, "Complete", "In Progress"))</f>
        <v>Complete</v>
      </c>
      <c r="AW15" s="22">
        <v>0</v>
      </c>
      <c r="AX15" s="22">
        <f t="shared" si="37"/>
        <v>0</v>
      </c>
      <c r="AY15" s="23" t="str">
        <f>IF(SUMPRODUCT($J$72:AX$72,$J15:AX15)&lt;0.5,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IF(SUMPRODUCT($J$72:BA$72,$J15:BA15)&lt;0.5,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IF(SUMPRODUCT($J$72:BD$72,$J15:BD15)&lt;0.5,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IF(SUMPRODUCT($J$72:BG$72,$J15:BG15)&lt;0.5,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IF(SUMPRODUCT($J$72:BJ$72,$J15:BJ15)&lt;0.5,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IF(SUMPRODUCT($J$72:BM$72,$J15:BM15)&lt;0.5,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IF(SUMPRODUCT($J$72:BP$72,$J15:BP15)&lt;0.5,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IF(SUMPRODUCT($J$72:BS$72,$J15:BS15)&lt;0.5,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IF(SUMPRODUCT($J$72:BV$72,$J15:BV15)&lt;0.5,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IF(SUMPRODUCT($J$72:BY$72,$J15:BY15)&lt;0.5,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IF(SUMPRODUCT($J$72:CB$72,$J15:CB15)&lt;0.5, "Pending", IF(CB15&lt;0.5, "Complete", "In Progress"))</f>
        <v>#REF!</v>
      </c>
      <c r="CD15" s="24"/>
      <c r="CE15" s="25">
        <f>SUMPRODUCT($H$72:AY$72,$H15:AY15)</f>
        <v>5</v>
      </c>
    </row>
    <row r="16" spans="1:83" x14ac:dyDescent="0.2">
      <c r="A16" s="16" t="s">
        <v>107</v>
      </c>
      <c r="B16" s="16" t="s">
        <v>117</v>
      </c>
      <c r="C16" s="16"/>
      <c r="D16" s="17">
        <v>13</v>
      </c>
      <c r="E16" s="178" t="s">
        <v>169</v>
      </c>
      <c r="F16" s="18" t="s">
        <v>156</v>
      </c>
      <c r="G16" s="19" t="e">
        <f t="shared" ca="1" si="0"/>
        <v>#REF!</v>
      </c>
      <c r="H16" s="20">
        <v>1</v>
      </c>
      <c r="I16" s="21">
        <v>7</v>
      </c>
      <c r="J16" s="22">
        <v>0</v>
      </c>
      <c r="K16" s="22">
        <f t="shared" ref="K16" si="70">MAX(I16-J16, 0)</f>
        <v>7</v>
      </c>
      <c r="L16" s="23" t="str">
        <f>IF(SUMPRODUCT($J$72:K$72,$J16:K16)&lt;0.5, "Pending", IF(K16&lt;0.5, "Complete", "In Progress"))</f>
        <v>Pending</v>
      </c>
      <c r="M16" s="22">
        <v>0</v>
      </c>
      <c r="N16" s="22">
        <f t="shared" ref="N16" si="71">MAX(K16-M16,0)</f>
        <v>7</v>
      </c>
      <c r="O16" s="23" t="str">
        <f>IF(SUMPRODUCT($J$72:N$72,$J16:N16)&lt;0.5, "Pending", IF(N16&lt;0.5, "Complete", "In Progress"))</f>
        <v>Pending</v>
      </c>
      <c r="P16" s="22">
        <v>2</v>
      </c>
      <c r="Q16" s="22">
        <f t="shared" ref="Q16" si="72">MAX(N16-P16,0)</f>
        <v>5</v>
      </c>
      <c r="R16" s="23" t="str">
        <f>IF(SUMPRODUCT($J$72:Q$72,$J16:Q16)&lt;0.5, "Pending", IF(Q16&lt;0.5, "Complete", "In Progress"))</f>
        <v>In Progress</v>
      </c>
      <c r="S16" s="22">
        <v>2</v>
      </c>
      <c r="T16" s="22">
        <f t="shared" ref="T16" si="73">MAX(Q16-S16,0)</f>
        <v>3</v>
      </c>
      <c r="U16" s="23" t="str">
        <f>IF(SUMPRODUCT($J$72:T$72,$J16:T16)&lt;0.5, "Pending", IF(T16&lt;0.5, "Complete", "In Progress"))</f>
        <v>In Progress</v>
      </c>
      <c r="V16" s="22">
        <v>2</v>
      </c>
      <c r="W16" s="22">
        <f t="shared" ref="W16" si="74">MAX(T16-V16,0)</f>
        <v>1</v>
      </c>
      <c r="X16" s="23" t="str">
        <f>IF(SUMPRODUCT($J$72:W$72,$J16:W16)&lt;0.5, "Pending", IF(W16&lt;0.5, "Complete", "In Progress"))</f>
        <v>In Progress</v>
      </c>
      <c r="Y16" s="22">
        <v>1</v>
      </c>
      <c r="Z16" s="22">
        <f t="shared" ref="Z16" si="75">MAX(W16-Y16,0)</f>
        <v>0</v>
      </c>
      <c r="AA16" s="23" t="str">
        <f>IF(SUMPRODUCT($J$72:Z$72,$J16:Z16)&lt;0.5, "Pending", IF(Z16&lt;0.5, "Complete", "In Progress"))</f>
        <v>Complete</v>
      </c>
      <c r="AB16" s="22">
        <v>0</v>
      </c>
      <c r="AC16" s="22">
        <f t="shared" ref="AC16" si="76">MAX(Z16-AB16,0)</f>
        <v>0</v>
      </c>
      <c r="AD16" s="23" t="str">
        <f>IF(SUMPRODUCT($J$72:AC$72,$J16:AC16)&lt;0.5, "Pending", IF(AC16&lt;0.5, "Complete", "In Progress"))</f>
        <v>Complete</v>
      </c>
      <c r="AE16" s="22">
        <v>0</v>
      </c>
      <c r="AF16" s="22">
        <f t="shared" ref="AF16" si="77">MAX(AC16-AE16,0)</f>
        <v>0</v>
      </c>
      <c r="AG16" s="23" t="str">
        <f>IF(SUMPRODUCT($J$72:AF$72,$J16:AF16)&lt;0.5, "Pending", IF(AF16&lt;0.5, "Complete", "In Progress"))</f>
        <v>Complete</v>
      </c>
      <c r="AH16" s="22">
        <v>0</v>
      </c>
      <c r="AI16" s="22">
        <f t="shared" ref="AI16" si="78">MAX(AF16-AH16,0)</f>
        <v>0</v>
      </c>
      <c r="AJ16" s="23" t="str">
        <f>IF(SUMPRODUCT($J$72:AI$72,$J16:AI16)&lt;0.5, "Pending", IF(AI16&lt;0.5, "Complete", "In Progress"))</f>
        <v>Complete</v>
      </c>
      <c r="AK16" s="22">
        <v>0</v>
      </c>
      <c r="AL16" s="22">
        <f t="shared" ref="AL16" si="79">MAX(AI16-AK16,0)</f>
        <v>0</v>
      </c>
      <c r="AM16" s="23" t="str">
        <f>IF(SUMPRODUCT($J$72:AL$72,$J16:AL16)&lt;0.5, "Pending", IF(AL16&lt;0.5, "Complete", "In Progress"))</f>
        <v>Complete</v>
      </c>
      <c r="AN16" s="22">
        <v>0</v>
      </c>
      <c r="AO16" s="22">
        <f t="shared" ref="AO16" si="80">MAX(AL16-AN16,0)</f>
        <v>0</v>
      </c>
      <c r="AP16" s="23" t="str">
        <f>IF(SUMPRODUCT($J$72:AO$72,$J16:AO16)&lt;0.5, "Pending", IF(AO16&lt;0.5, "Complete", "In Progress"))</f>
        <v>Complete</v>
      </c>
      <c r="AQ16" s="22">
        <v>0</v>
      </c>
      <c r="AR16" s="22">
        <f t="shared" ref="AR16" si="81">MAX(AO16-AQ16,0)</f>
        <v>0</v>
      </c>
      <c r="AS16" s="23" t="str">
        <f>IF(SUMPRODUCT($J$72:AR$72,$J16:AR16)&lt;0.5, "Pending", IF(AR16&lt;0.5, "Complete", "In Progress"))</f>
        <v>Complete</v>
      </c>
      <c r="AT16" s="22">
        <v>0</v>
      </c>
      <c r="AU16" s="22">
        <f t="shared" ref="AU16" si="82">MAX(AR16-AT16,0)</f>
        <v>0</v>
      </c>
      <c r="AV16" s="23" t="str">
        <f>IF(SUMPRODUCT($J$72:AU$72,$J16:AU16)&lt;0.5, "Pending", IF(AU16&lt;0.5, "Complete", "In Progress"))</f>
        <v>Complete</v>
      </c>
      <c r="AW16" s="22">
        <v>0</v>
      </c>
      <c r="AX16" s="22">
        <f t="shared" ref="AX16" si="83">MAX(AU16-AW16,0)</f>
        <v>0</v>
      </c>
      <c r="AY16" s="23" t="str">
        <f>IF(SUMPRODUCT($J$72:AX$72,$J16:AX16)&lt;0.5,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IF(SUMPRODUCT($J$72:BA$72,$J16:BA16)&lt;0.5, "Pending", IF(BA16&lt;0.5, "Complete", "In Progress"))</f>
        <v>#REF!</v>
      </c>
      <c r="BC16" s="22">
        <v>0</v>
      </c>
      <c r="BD16" s="22" t="e">
        <f t="shared" ref="BD16" si="84">MAX(BA16-BC16,0)</f>
        <v>#REF!</v>
      </c>
      <c r="BE16" s="23" t="e">
        <f>IF(SUMPRODUCT($J$72:BD$72,$J16:BD16)&lt;0.5, "Pending", IF(BD16&lt;0.5, "Complete", "In Progress"))</f>
        <v>#REF!</v>
      </c>
      <c r="BF16" s="22">
        <v>0</v>
      </c>
      <c r="BG16" s="22" t="e">
        <f t="shared" ref="BG16" si="85">MAX(BD16-BF16,0)</f>
        <v>#REF!</v>
      </c>
      <c r="BH16" s="23" t="e">
        <f>IF(SUMPRODUCT($J$72:BG$72,$J16:BG16)&lt;0.5, "Pending", IF(BG16&lt;0.5, "Complete", "In Progress"))</f>
        <v>#REF!</v>
      </c>
      <c r="BI16" s="22">
        <v>0</v>
      </c>
      <c r="BJ16" s="22" t="e">
        <f t="shared" ref="BJ16" si="86">MAX(BG16-BI16,0)</f>
        <v>#REF!</v>
      </c>
      <c r="BK16" s="23" t="e">
        <f>IF(SUMPRODUCT($J$72:BJ$72,$J16:BJ16)&lt;0.5, "Pending", IF(BJ16&lt;0.5, "Complete", "In Progress"))</f>
        <v>#REF!</v>
      </c>
      <c r="BL16" s="22">
        <v>0</v>
      </c>
      <c r="BM16" s="22" t="e">
        <f t="shared" ref="BM16" si="87">MAX(BJ16-BL16,0)</f>
        <v>#REF!</v>
      </c>
      <c r="BN16" s="23" t="e">
        <f>IF(SUMPRODUCT($J$72:BM$72,$J16:BM16)&lt;0.5, "Pending", IF(BM16&lt;0.5, "Complete", "In Progress"))</f>
        <v>#REF!</v>
      </c>
      <c r="BO16" s="22">
        <v>0</v>
      </c>
      <c r="BP16" s="22" t="e">
        <f t="shared" ref="BP16" si="88">MAX(BM16-BO16,0)</f>
        <v>#REF!</v>
      </c>
      <c r="BQ16" s="23" t="e">
        <f>IF(SUMPRODUCT($J$72:BP$72,$J16:BP16)&lt;0.5, "Pending", IF(BP16&lt;0.5, "Complete", "In Progress"))</f>
        <v>#REF!</v>
      </c>
      <c r="BR16" s="22">
        <v>0</v>
      </c>
      <c r="BS16" s="22" t="e">
        <f t="shared" ref="BS16" si="89">MAX(BP16-BR16,0)</f>
        <v>#REF!</v>
      </c>
      <c r="BT16" s="23" t="e">
        <f>IF(SUMPRODUCT($J$72:BS$72,$J16:BS16)&lt;0.5, "Pending", IF(BS16&lt;0.5, "Complete", "In Progress"))</f>
        <v>#REF!</v>
      </c>
      <c r="BU16" s="22">
        <v>0</v>
      </c>
      <c r="BV16" s="22" t="e">
        <f t="shared" ref="BV16" si="90">MAX(BS16-BU16,0)</f>
        <v>#REF!</v>
      </c>
      <c r="BW16" s="23" t="e">
        <f>IF(SUMPRODUCT($J$72:BV$72,$J16:BV16)&lt;0.5, "Pending", IF(BV16&lt;0.5, "Complete", "In Progress"))</f>
        <v>#REF!</v>
      </c>
      <c r="BX16" s="22">
        <v>0</v>
      </c>
      <c r="BY16" s="22" t="e">
        <f t="shared" ref="BY16" si="91">MAX(BV16-BX16,0)</f>
        <v>#REF!</v>
      </c>
      <c r="BZ16" s="23" t="e">
        <f>IF(SUMPRODUCT($J$72:BY$72,$J16:BY16)&lt;0.5, "Pending", IF(BY16&lt;0.5, "Complete", "In Progress"))</f>
        <v>#REF!</v>
      </c>
      <c r="CA16" s="22">
        <v>0</v>
      </c>
      <c r="CB16" s="22" t="e">
        <f t="shared" ref="CB16" si="92">MAX(BY16-CA16,0)</f>
        <v>#REF!</v>
      </c>
      <c r="CC16" s="23" t="e">
        <f>IF(SUMPRODUCT($J$72:CB$72,$J16:CB16)&lt;0.5, "Pending", IF(CB16&lt;0.5, "Complete", "In Progress"))</f>
        <v>#REF!</v>
      </c>
      <c r="CD16" s="24"/>
      <c r="CE16" s="25">
        <f>SUMPRODUCT($H$72:AY$72,$H16:AY16)</f>
        <v>7</v>
      </c>
    </row>
    <row r="17" spans="1:83" x14ac:dyDescent="0.2">
      <c r="A17" s="16" t="s">
        <v>107</v>
      </c>
      <c r="B17" s="16" t="s">
        <v>117</v>
      </c>
      <c r="C17" s="16"/>
      <c r="D17" s="17">
        <v>14</v>
      </c>
      <c r="E17" s="178" t="s">
        <v>169</v>
      </c>
      <c r="F17" s="18" t="s">
        <v>152</v>
      </c>
      <c r="G17" s="19" t="e">
        <f t="shared" ca="1" si="0"/>
        <v>#REF!</v>
      </c>
      <c r="H17" s="20">
        <v>1</v>
      </c>
      <c r="I17" s="21">
        <v>7</v>
      </c>
      <c r="J17" s="22">
        <v>0</v>
      </c>
      <c r="K17" s="22">
        <f t="shared" ref="K17" si="93">MAX(I17-J17, 0)</f>
        <v>7</v>
      </c>
      <c r="L17" s="23" t="str">
        <f>IF(SUMPRODUCT($J$72:K$72,$J17:K17)&lt;0.5, "Pending", IF(K17&lt;0.5, "Complete", "In Progress"))</f>
        <v>Pending</v>
      </c>
      <c r="M17" s="22">
        <v>0</v>
      </c>
      <c r="N17" s="22">
        <f t="shared" ref="N17" si="94">MAX(K17-M17,0)</f>
        <v>7</v>
      </c>
      <c r="O17" s="23" t="str">
        <f>IF(SUMPRODUCT($J$72:N$72,$J17:N17)&lt;0.5, "Pending", IF(N17&lt;0.5, "Complete", "In Progress"))</f>
        <v>Pending</v>
      </c>
      <c r="P17" s="22">
        <v>2</v>
      </c>
      <c r="Q17" s="22">
        <f t="shared" ref="Q17" si="95">MAX(N17-P17,0)</f>
        <v>5</v>
      </c>
      <c r="R17" s="23" t="str">
        <f>IF(SUMPRODUCT($J$72:Q$72,$J17:Q17)&lt;0.5, "Pending", IF(Q17&lt;0.5, "Complete", "In Progress"))</f>
        <v>In Progress</v>
      </c>
      <c r="S17" s="22">
        <v>2</v>
      </c>
      <c r="T17" s="22">
        <f t="shared" ref="T17" si="96">MAX(Q17-S17,0)</f>
        <v>3</v>
      </c>
      <c r="U17" s="23" t="str">
        <f>IF(SUMPRODUCT($J$72:T$72,$J17:T17)&lt;0.5, "Pending", IF(T17&lt;0.5, "Complete", "In Progress"))</f>
        <v>In Progress</v>
      </c>
      <c r="V17" s="22">
        <v>2</v>
      </c>
      <c r="W17" s="22">
        <f t="shared" ref="W17" si="97">MAX(T17-V17,0)</f>
        <v>1</v>
      </c>
      <c r="X17" s="23" t="str">
        <f>IF(SUMPRODUCT($J$72:W$72,$J17:W17)&lt;0.5, "Pending", IF(W17&lt;0.5, "Complete", "In Progress"))</f>
        <v>In Progress</v>
      </c>
      <c r="Y17" s="22">
        <v>1</v>
      </c>
      <c r="Z17" s="22">
        <f t="shared" ref="Z17" si="98">MAX(W17-Y17,0)</f>
        <v>0</v>
      </c>
      <c r="AA17" s="23" t="str">
        <f>IF(SUMPRODUCT($J$72:Z$72,$J17:Z17)&lt;0.5, "Pending", IF(Z17&lt;0.5, "Complete", "In Progress"))</f>
        <v>Complete</v>
      </c>
      <c r="AB17" s="22">
        <v>0</v>
      </c>
      <c r="AC17" s="22">
        <f t="shared" ref="AC17" si="99">MAX(Z17-AB17,0)</f>
        <v>0</v>
      </c>
      <c r="AD17" s="23" t="str">
        <f>IF(SUMPRODUCT($J$72:AC$72,$J17:AC17)&lt;0.5, "Pending", IF(AC17&lt;0.5, "Complete", "In Progress"))</f>
        <v>Complete</v>
      </c>
      <c r="AE17" s="22">
        <v>0</v>
      </c>
      <c r="AF17" s="22">
        <f t="shared" ref="AF17" si="100">MAX(AC17-AE17,0)</f>
        <v>0</v>
      </c>
      <c r="AG17" s="23" t="str">
        <f>IF(SUMPRODUCT($J$72:AF$72,$J17:AF17)&lt;0.5, "Pending", IF(AF17&lt;0.5, "Complete", "In Progress"))</f>
        <v>Complete</v>
      </c>
      <c r="AH17" s="22">
        <v>0</v>
      </c>
      <c r="AI17" s="22">
        <f t="shared" ref="AI17" si="101">MAX(AF17-AH17,0)</f>
        <v>0</v>
      </c>
      <c r="AJ17" s="23" t="str">
        <f>IF(SUMPRODUCT($J$72:AI$72,$J17:AI17)&lt;0.5, "Pending", IF(AI17&lt;0.5, "Complete", "In Progress"))</f>
        <v>Complete</v>
      </c>
      <c r="AK17" s="22">
        <v>0</v>
      </c>
      <c r="AL17" s="22">
        <f t="shared" ref="AL17" si="102">MAX(AI17-AK17,0)</f>
        <v>0</v>
      </c>
      <c r="AM17" s="23" t="str">
        <f>IF(SUMPRODUCT($J$72:AL$72,$J17:AL17)&lt;0.5, "Pending", IF(AL17&lt;0.5, "Complete", "In Progress"))</f>
        <v>Complete</v>
      </c>
      <c r="AN17" s="22">
        <v>0</v>
      </c>
      <c r="AO17" s="22">
        <f t="shared" ref="AO17" si="103">MAX(AL17-AN17,0)</f>
        <v>0</v>
      </c>
      <c r="AP17" s="23" t="str">
        <f>IF(SUMPRODUCT($J$72:AO$72,$J17:AO17)&lt;0.5, "Pending", IF(AO17&lt;0.5, "Complete", "In Progress"))</f>
        <v>Complete</v>
      </c>
      <c r="AQ17" s="22">
        <v>0</v>
      </c>
      <c r="AR17" s="22">
        <f t="shared" ref="AR17" si="104">MAX(AO17-AQ17,0)</f>
        <v>0</v>
      </c>
      <c r="AS17" s="23" t="str">
        <f>IF(SUMPRODUCT($J$72:AR$72,$J17:AR17)&lt;0.5, "Pending", IF(AR17&lt;0.5, "Complete", "In Progress"))</f>
        <v>Complete</v>
      </c>
      <c r="AT17" s="22">
        <v>0</v>
      </c>
      <c r="AU17" s="22">
        <f t="shared" ref="AU17" si="105">MAX(AR17-AT17,0)</f>
        <v>0</v>
      </c>
      <c r="AV17" s="23" t="str">
        <f>IF(SUMPRODUCT($J$72:AU$72,$J17:AU17)&lt;0.5, "Pending", IF(AU17&lt;0.5, "Complete", "In Progress"))</f>
        <v>Complete</v>
      </c>
      <c r="AW17" s="22">
        <v>0</v>
      </c>
      <c r="AX17" s="22">
        <f t="shared" ref="AX17" si="106">MAX(AU17-AW17,0)</f>
        <v>0</v>
      </c>
      <c r="AY17" s="23" t="str">
        <f>IF(SUMPRODUCT($J$72:AX$72,$J17:AX17)&lt;0.5,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IF(SUMPRODUCT($J$72:BA$72,$J17:BA17)&lt;0.5, "Pending", IF(BA17&lt;0.5, "Complete", "In Progress"))</f>
        <v>#REF!</v>
      </c>
      <c r="BC17" s="22">
        <v>0</v>
      </c>
      <c r="BD17" s="22" t="e">
        <f t="shared" ref="BD17" si="107">MAX(BA17-BC17,0)</f>
        <v>#REF!</v>
      </c>
      <c r="BE17" s="23" t="e">
        <f>IF(SUMPRODUCT($J$72:BD$72,$J17:BD17)&lt;0.5, "Pending", IF(BD17&lt;0.5, "Complete", "In Progress"))</f>
        <v>#REF!</v>
      </c>
      <c r="BF17" s="22">
        <v>0</v>
      </c>
      <c r="BG17" s="22" t="e">
        <f t="shared" ref="BG17" si="108">MAX(BD17-BF17,0)</f>
        <v>#REF!</v>
      </c>
      <c r="BH17" s="23" t="e">
        <f>IF(SUMPRODUCT($J$72:BG$72,$J17:BG17)&lt;0.5, "Pending", IF(BG17&lt;0.5, "Complete", "In Progress"))</f>
        <v>#REF!</v>
      </c>
      <c r="BI17" s="22">
        <v>0</v>
      </c>
      <c r="BJ17" s="22" t="e">
        <f t="shared" ref="BJ17" si="109">MAX(BG17-BI17,0)</f>
        <v>#REF!</v>
      </c>
      <c r="BK17" s="23" t="e">
        <f>IF(SUMPRODUCT($J$72:BJ$72,$J17:BJ17)&lt;0.5, "Pending", IF(BJ17&lt;0.5, "Complete", "In Progress"))</f>
        <v>#REF!</v>
      </c>
      <c r="BL17" s="22">
        <v>0</v>
      </c>
      <c r="BM17" s="22" t="e">
        <f t="shared" ref="BM17" si="110">MAX(BJ17-BL17,0)</f>
        <v>#REF!</v>
      </c>
      <c r="BN17" s="23" t="e">
        <f>IF(SUMPRODUCT($J$72:BM$72,$J17:BM17)&lt;0.5, "Pending", IF(BM17&lt;0.5, "Complete", "In Progress"))</f>
        <v>#REF!</v>
      </c>
      <c r="BO17" s="22">
        <v>0</v>
      </c>
      <c r="BP17" s="22" t="e">
        <f t="shared" ref="BP17" si="111">MAX(BM17-BO17,0)</f>
        <v>#REF!</v>
      </c>
      <c r="BQ17" s="23" t="e">
        <f>IF(SUMPRODUCT($J$72:BP$72,$J17:BP17)&lt;0.5, "Pending", IF(BP17&lt;0.5, "Complete", "In Progress"))</f>
        <v>#REF!</v>
      </c>
      <c r="BR17" s="22">
        <v>0</v>
      </c>
      <c r="BS17" s="22" t="e">
        <f t="shared" ref="BS17" si="112">MAX(BP17-BR17,0)</f>
        <v>#REF!</v>
      </c>
      <c r="BT17" s="23" t="e">
        <f>IF(SUMPRODUCT($J$72:BS$72,$J17:BS17)&lt;0.5, "Pending", IF(BS17&lt;0.5, "Complete", "In Progress"))</f>
        <v>#REF!</v>
      </c>
      <c r="BU17" s="22">
        <v>0</v>
      </c>
      <c r="BV17" s="22" t="e">
        <f t="shared" ref="BV17" si="113">MAX(BS17-BU17,0)</f>
        <v>#REF!</v>
      </c>
      <c r="BW17" s="23" t="e">
        <f>IF(SUMPRODUCT($J$72:BV$72,$J17:BV17)&lt;0.5, "Pending", IF(BV17&lt;0.5, "Complete", "In Progress"))</f>
        <v>#REF!</v>
      </c>
      <c r="BX17" s="22">
        <v>0</v>
      </c>
      <c r="BY17" s="22" t="e">
        <f t="shared" ref="BY17" si="114">MAX(BV17-BX17,0)</f>
        <v>#REF!</v>
      </c>
      <c r="BZ17" s="23" t="e">
        <f>IF(SUMPRODUCT($J$72:BY$72,$J17:BY17)&lt;0.5, "Pending", IF(BY17&lt;0.5, "Complete", "In Progress"))</f>
        <v>#REF!</v>
      </c>
      <c r="CA17" s="22">
        <v>0</v>
      </c>
      <c r="CB17" s="22" t="e">
        <f t="shared" ref="CB17" si="115">MAX(BY17-CA17,0)</f>
        <v>#REF!</v>
      </c>
      <c r="CC17" s="23" t="e">
        <f>IF(SUMPRODUCT($J$72:CB$72,$J17:CB17)&lt;0.5, "Pending", IF(CB17&lt;0.5, "Complete", "In Progress"))</f>
        <v>#REF!</v>
      </c>
      <c r="CD17" s="24"/>
      <c r="CE17" s="25">
        <f>SUMPRODUCT($H$72:AY$72,$H17:AY17)</f>
        <v>7</v>
      </c>
    </row>
    <row r="18" spans="1:83" x14ac:dyDescent="0.2">
      <c r="A18" s="16" t="s">
        <v>107</v>
      </c>
      <c r="B18" s="16" t="s">
        <v>117</v>
      </c>
      <c r="C18" s="16"/>
      <c r="D18" s="17">
        <v>15</v>
      </c>
      <c r="E18" s="178" t="s">
        <v>166</v>
      </c>
      <c r="F18" s="18" t="s">
        <v>146</v>
      </c>
      <c r="G18" s="19" t="e">
        <f t="shared" ca="1" si="0"/>
        <v>#REF!</v>
      </c>
      <c r="H18" s="20">
        <v>1</v>
      </c>
      <c r="I18" s="21">
        <v>4</v>
      </c>
      <c r="J18" s="22">
        <v>2</v>
      </c>
      <c r="K18" s="22">
        <f t="shared" ref="K18" si="116">MAX(I18-J18, 0)</f>
        <v>2</v>
      </c>
      <c r="L18" s="23" t="str">
        <f>IF(SUMPRODUCT($J$72:K$72,$J18:K18)&lt;0.5, "Pending", IF(K18&lt;0.5, "Complete", "In Progress"))</f>
        <v>In Progress</v>
      </c>
      <c r="M18" s="22">
        <v>2</v>
      </c>
      <c r="N18" s="22">
        <f t="shared" ref="N18" si="117">MAX(K18-M18,0)</f>
        <v>0</v>
      </c>
      <c r="O18" s="23" t="str">
        <f>IF(SUMPRODUCT($J$72:N$72,$J18:N18)&lt;0.5, "Pending", IF(N18&lt;0.5, "Complete", "In Progress"))</f>
        <v>Complete</v>
      </c>
      <c r="P18" s="22">
        <v>0</v>
      </c>
      <c r="Q18" s="22">
        <f t="shared" ref="Q18" si="118">MAX(N18-P18,0)</f>
        <v>0</v>
      </c>
      <c r="R18" s="23" t="str">
        <f>IF(SUMPRODUCT($J$72:Q$72,$J18:Q18)&lt;0.5, "Pending", IF(Q18&lt;0.5, "Complete", "In Progress"))</f>
        <v>Complete</v>
      </c>
      <c r="S18" s="22">
        <v>0</v>
      </c>
      <c r="T18" s="22">
        <f t="shared" ref="T18" si="119">MAX(Q18-S18,0)</f>
        <v>0</v>
      </c>
      <c r="U18" s="23" t="str">
        <f>IF(SUMPRODUCT($J$72:T$72,$J18:T18)&lt;0.5, "Pending", IF(T18&lt;0.5, "Complete", "In Progress"))</f>
        <v>Complete</v>
      </c>
      <c r="V18" s="22">
        <v>0</v>
      </c>
      <c r="W18" s="22">
        <f t="shared" ref="W18" si="120">MAX(T18-V18,0)</f>
        <v>0</v>
      </c>
      <c r="X18" s="23" t="str">
        <f>IF(SUMPRODUCT($J$72:W$72,$J18:W18)&lt;0.5, "Pending", IF(W18&lt;0.5, "Complete", "In Progress"))</f>
        <v>Complete</v>
      </c>
      <c r="Y18" s="22">
        <v>0</v>
      </c>
      <c r="Z18" s="22">
        <f t="shared" ref="Z18" si="121">MAX(W18-Y18,0)</f>
        <v>0</v>
      </c>
      <c r="AA18" s="23" t="str">
        <f>IF(SUMPRODUCT($J$72:Z$72,$J18:Z18)&lt;0.5, "Pending", IF(Z18&lt;0.5, "Complete", "In Progress"))</f>
        <v>Complete</v>
      </c>
      <c r="AB18" s="22">
        <v>0</v>
      </c>
      <c r="AC18" s="22">
        <f t="shared" ref="AC18" si="122">MAX(Z18-AB18,0)</f>
        <v>0</v>
      </c>
      <c r="AD18" s="23" t="str">
        <f>IF(SUMPRODUCT($J$72:AC$72,$J18:AC18)&lt;0.5, "Pending", IF(AC18&lt;0.5, "Complete", "In Progress"))</f>
        <v>Complete</v>
      </c>
      <c r="AE18" s="22">
        <v>0</v>
      </c>
      <c r="AF18" s="22">
        <f t="shared" ref="AF18" si="123">MAX(AC18-AE18,0)</f>
        <v>0</v>
      </c>
      <c r="AG18" s="23" t="str">
        <f>IF(SUMPRODUCT($J$72:AF$72,$J18:AF18)&lt;0.5, "Pending", IF(AF18&lt;0.5, "Complete", "In Progress"))</f>
        <v>Complete</v>
      </c>
      <c r="AH18" s="22">
        <v>0</v>
      </c>
      <c r="AI18" s="22">
        <f t="shared" ref="AI18" si="124">MAX(AF18-AH18,0)</f>
        <v>0</v>
      </c>
      <c r="AJ18" s="23" t="str">
        <f>IF(SUMPRODUCT($J$72:AI$72,$J18:AI18)&lt;0.5, "Pending", IF(AI18&lt;0.5, "Complete", "In Progress"))</f>
        <v>Complete</v>
      </c>
      <c r="AK18" s="22">
        <v>0</v>
      </c>
      <c r="AL18" s="22">
        <f t="shared" ref="AL18" si="125">MAX(AI18-AK18,0)</f>
        <v>0</v>
      </c>
      <c r="AM18" s="23" t="str">
        <f>IF(SUMPRODUCT($J$72:AL$72,$J18:AL18)&lt;0.5, "Pending", IF(AL18&lt;0.5, "Complete", "In Progress"))</f>
        <v>Complete</v>
      </c>
      <c r="AN18" s="22">
        <v>0</v>
      </c>
      <c r="AO18" s="22">
        <f t="shared" ref="AO18" si="126">MAX(AL18-AN18,0)</f>
        <v>0</v>
      </c>
      <c r="AP18" s="23" t="str">
        <f>IF(SUMPRODUCT($J$72:AO$72,$J18:AO18)&lt;0.5, "Pending", IF(AO18&lt;0.5, "Complete", "In Progress"))</f>
        <v>Complete</v>
      </c>
      <c r="AQ18" s="22">
        <v>0</v>
      </c>
      <c r="AR18" s="22">
        <f t="shared" ref="AR18" si="127">MAX(AO18-AQ18,0)</f>
        <v>0</v>
      </c>
      <c r="AS18" s="23" t="str">
        <f>IF(SUMPRODUCT($J$72:AR$72,$J18:AR18)&lt;0.5, "Pending", IF(AR18&lt;0.5, "Complete", "In Progress"))</f>
        <v>Complete</v>
      </c>
      <c r="AT18" s="22">
        <v>0</v>
      </c>
      <c r="AU18" s="22">
        <f t="shared" ref="AU18" si="128">MAX(AR18-AT18,0)</f>
        <v>0</v>
      </c>
      <c r="AV18" s="23" t="str">
        <f>IF(SUMPRODUCT($J$72:AU$72,$J18:AU18)&lt;0.5, "Pending", IF(AU18&lt;0.5, "Complete", "In Progress"))</f>
        <v>Complete</v>
      </c>
      <c r="AW18" s="22">
        <v>0</v>
      </c>
      <c r="AX18" s="22">
        <f t="shared" ref="AX18" si="129">MAX(AU18-AW18,0)</f>
        <v>0</v>
      </c>
      <c r="AY18" s="23" t="str">
        <f>IF(SUMPRODUCT($J$72:AX$72,$J18:AX18)&lt;0.5,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IF(SUMPRODUCT($J$72:BA$72,$J18:BA18)&lt;0.5, "Pending", IF(BA18&lt;0.5, "Complete", "In Progress"))</f>
        <v>#REF!</v>
      </c>
      <c r="BC18" s="22">
        <v>0</v>
      </c>
      <c r="BD18" s="22" t="e">
        <f t="shared" ref="BD18" si="130">MAX(BA18-BC18,0)</f>
        <v>#REF!</v>
      </c>
      <c r="BE18" s="23" t="e">
        <f>IF(SUMPRODUCT($J$72:BD$72,$J18:BD18)&lt;0.5, "Pending", IF(BD18&lt;0.5, "Complete", "In Progress"))</f>
        <v>#REF!</v>
      </c>
      <c r="BF18" s="22">
        <v>0</v>
      </c>
      <c r="BG18" s="22" t="e">
        <f t="shared" ref="BG18" si="131">MAX(BD18-BF18,0)</f>
        <v>#REF!</v>
      </c>
      <c r="BH18" s="23" t="e">
        <f>IF(SUMPRODUCT($J$72:BG$72,$J18:BG18)&lt;0.5, "Pending", IF(BG18&lt;0.5, "Complete", "In Progress"))</f>
        <v>#REF!</v>
      </c>
      <c r="BI18" s="22">
        <v>0</v>
      </c>
      <c r="BJ18" s="22" t="e">
        <f t="shared" ref="BJ18" si="132">MAX(BG18-BI18,0)</f>
        <v>#REF!</v>
      </c>
      <c r="BK18" s="23" t="e">
        <f>IF(SUMPRODUCT($J$72:BJ$72,$J18:BJ18)&lt;0.5, "Pending", IF(BJ18&lt;0.5, "Complete", "In Progress"))</f>
        <v>#REF!</v>
      </c>
      <c r="BL18" s="22">
        <v>0</v>
      </c>
      <c r="BM18" s="22" t="e">
        <f t="shared" ref="BM18" si="133">MAX(BJ18-BL18,0)</f>
        <v>#REF!</v>
      </c>
      <c r="BN18" s="23" t="e">
        <f>IF(SUMPRODUCT($J$72:BM$72,$J18:BM18)&lt;0.5, "Pending", IF(BM18&lt;0.5, "Complete", "In Progress"))</f>
        <v>#REF!</v>
      </c>
      <c r="BO18" s="22">
        <v>0</v>
      </c>
      <c r="BP18" s="22" t="e">
        <f t="shared" ref="BP18" si="134">MAX(BM18-BO18,0)</f>
        <v>#REF!</v>
      </c>
      <c r="BQ18" s="23" t="e">
        <f>IF(SUMPRODUCT($J$72:BP$72,$J18:BP18)&lt;0.5, "Pending", IF(BP18&lt;0.5, "Complete", "In Progress"))</f>
        <v>#REF!</v>
      </c>
      <c r="BR18" s="22">
        <v>0</v>
      </c>
      <c r="BS18" s="22" t="e">
        <f t="shared" ref="BS18" si="135">MAX(BP18-BR18,0)</f>
        <v>#REF!</v>
      </c>
      <c r="BT18" s="23" t="e">
        <f>IF(SUMPRODUCT($J$72:BS$72,$J18:BS18)&lt;0.5, "Pending", IF(BS18&lt;0.5, "Complete", "In Progress"))</f>
        <v>#REF!</v>
      </c>
      <c r="BU18" s="22">
        <v>0</v>
      </c>
      <c r="BV18" s="22" t="e">
        <f t="shared" ref="BV18" si="136">MAX(BS18-BU18,0)</f>
        <v>#REF!</v>
      </c>
      <c r="BW18" s="23" t="e">
        <f>IF(SUMPRODUCT($J$72:BV$72,$J18:BV18)&lt;0.5, "Pending", IF(BV18&lt;0.5, "Complete", "In Progress"))</f>
        <v>#REF!</v>
      </c>
      <c r="BX18" s="22">
        <v>0</v>
      </c>
      <c r="BY18" s="22" t="e">
        <f t="shared" ref="BY18" si="137">MAX(BV18-BX18,0)</f>
        <v>#REF!</v>
      </c>
      <c r="BZ18" s="23" t="e">
        <f>IF(SUMPRODUCT($J$72:BY$72,$J18:BY18)&lt;0.5, "Pending", IF(BY18&lt;0.5, "Complete", "In Progress"))</f>
        <v>#REF!</v>
      </c>
      <c r="CA18" s="22">
        <v>0</v>
      </c>
      <c r="CB18" s="22" t="e">
        <f t="shared" ref="CB18" si="138">MAX(BY18-CA18,0)</f>
        <v>#REF!</v>
      </c>
      <c r="CC18" s="23" t="e">
        <f>IF(SUMPRODUCT($J$72:CB$72,$J18:CB18)&lt;0.5, "Pending", IF(CB18&lt;0.5, "Complete", "In Progress"))</f>
        <v>#REF!</v>
      </c>
      <c r="CD18" s="24"/>
      <c r="CE18" s="25">
        <f>SUMPRODUCT($H$72:AY$72,$H18:AY18)</f>
        <v>4</v>
      </c>
    </row>
    <row r="19" spans="1:83" x14ac:dyDescent="0.2">
      <c r="A19" s="16" t="s">
        <v>107</v>
      </c>
      <c r="B19" s="16" t="s">
        <v>117</v>
      </c>
      <c r="C19" s="16"/>
      <c r="D19" s="17">
        <v>16</v>
      </c>
      <c r="E19" s="178" t="s">
        <v>166</v>
      </c>
      <c r="F19" s="18" t="s">
        <v>150</v>
      </c>
      <c r="G19" s="19" t="e">
        <f t="shared" ca="1" si="0"/>
        <v>#REF!</v>
      </c>
      <c r="H19" s="20">
        <v>1</v>
      </c>
      <c r="I19" s="21">
        <v>4</v>
      </c>
      <c r="J19" s="22">
        <v>2</v>
      </c>
      <c r="K19" s="22">
        <f t="shared" ref="K19" si="139">MAX(I19-J19, 0)</f>
        <v>2</v>
      </c>
      <c r="L19" s="23" t="str">
        <f>IF(SUMPRODUCT($J$72:K$72,$J19:K19)&lt;0.5, "Pending", IF(K19&lt;0.5, "Complete", "In Progress"))</f>
        <v>In Progress</v>
      </c>
      <c r="M19" s="22">
        <v>2</v>
      </c>
      <c r="N19" s="22">
        <f t="shared" ref="N19" si="140">MAX(K19-M19,0)</f>
        <v>0</v>
      </c>
      <c r="O19" s="23" t="str">
        <f>IF(SUMPRODUCT($J$72:N$72,$J19:N19)&lt;0.5, "Pending", IF(N19&lt;0.5, "Complete", "In Progress"))</f>
        <v>Complete</v>
      </c>
      <c r="P19" s="22">
        <v>0</v>
      </c>
      <c r="Q19" s="22">
        <f t="shared" ref="Q19" si="141">MAX(N19-P19,0)</f>
        <v>0</v>
      </c>
      <c r="R19" s="23" t="str">
        <f>IF(SUMPRODUCT($J$72:Q$72,$J19:Q19)&lt;0.5, "Pending", IF(Q19&lt;0.5, "Complete", "In Progress"))</f>
        <v>Complete</v>
      </c>
      <c r="S19" s="22">
        <v>0</v>
      </c>
      <c r="T19" s="22">
        <f t="shared" ref="T19" si="142">MAX(Q19-S19,0)</f>
        <v>0</v>
      </c>
      <c r="U19" s="23" t="str">
        <f>IF(SUMPRODUCT($J$72:T$72,$J19:T19)&lt;0.5, "Pending", IF(T19&lt;0.5, "Complete", "In Progress"))</f>
        <v>Complete</v>
      </c>
      <c r="V19" s="22">
        <v>0</v>
      </c>
      <c r="W19" s="22">
        <f t="shared" ref="W19" si="143">MAX(T19-V19,0)</f>
        <v>0</v>
      </c>
      <c r="X19" s="23" t="str">
        <f>IF(SUMPRODUCT($J$72:W$72,$J19:W19)&lt;0.5, "Pending", IF(W19&lt;0.5, "Complete", "In Progress"))</f>
        <v>Complete</v>
      </c>
      <c r="Y19" s="22">
        <v>0</v>
      </c>
      <c r="Z19" s="22">
        <f t="shared" ref="Z19" si="144">MAX(W19-Y19,0)</f>
        <v>0</v>
      </c>
      <c r="AA19" s="23" t="str">
        <f>IF(SUMPRODUCT($J$72:Z$72,$J19:Z19)&lt;0.5, "Pending", IF(Z19&lt;0.5, "Complete", "In Progress"))</f>
        <v>Complete</v>
      </c>
      <c r="AB19" s="22">
        <v>0</v>
      </c>
      <c r="AC19" s="22">
        <f t="shared" ref="AC19" si="145">MAX(Z19-AB19,0)</f>
        <v>0</v>
      </c>
      <c r="AD19" s="23" t="str">
        <f>IF(SUMPRODUCT($J$72:AC$72,$J19:AC19)&lt;0.5, "Pending", IF(AC19&lt;0.5, "Complete", "In Progress"))</f>
        <v>Complete</v>
      </c>
      <c r="AE19" s="22">
        <v>0</v>
      </c>
      <c r="AF19" s="22">
        <f t="shared" ref="AF19" si="146">MAX(AC19-AE19,0)</f>
        <v>0</v>
      </c>
      <c r="AG19" s="23" t="str">
        <f>IF(SUMPRODUCT($J$72:AF$72,$J19:AF19)&lt;0.5, "Pending", IF(AF19&lt;0.5, "Complete", "In Progress"))</f>
        <v>Complete</v>
      </c>
      <c r="AH19" s="22">
        <v>0</v>
      </c>
      <c r="AI19" s="22">
        <f t="shared" ref="AI19" si="147">MAX(AF19-AH19,0)</f>
        <v>0</v>
      </c>
      <c r="AJ19" s="23" t="str">
        <f>IF(SUMPRODUCT($J$72:AI$72,$J19:AI19)&lt;0.5, "Pending", IF(AI19&lt;0.5, "Complete", "In Progress"))</f>
        <v>Complete</v>
      </c>
      <c r="AK19" s="22">
        <v>0</v>
      </c>
      <c r="AL19" s="22">
        <f t="shared" ref="AL19" si="148">MAX(AI19-AK19,0)</f>
        <v>0</v>
      </c>
      <c r="AM19" s="23" t="str">
        <f>IF(SUMPRODUCT($J$72:AL$72,$J19:AL19)&lt;0.5, "Pending", IF(AL19&lt;0.5, "Complete", "In Progress"))</f>
        <v>Complete</v>
      </c>
      <c r="AN19" s="22">
        <v>0</v>
      </c>
      <c r="AO19" s="22">
        <f t="shared" ref="AO19" si="149">MAX(AL19-AN19,0)</f>
        <v>0</v>
      </c>
      <c r="AP19" s="23" t="str">
        <f>IF(SUMPRODUCT($J$72:AO$72,$J19:AO19)&lt;0.5, "Pending", IF(AO19&lt;0.5, "Complete", "In Progress"))</f>
        <v>Complete</v>
      </c>
      <c r="AQ19" s="22">
        <v>0</v>
      </c>
      <c r="AR19" s="22">
        <f t="shared" ref="AR19" si="150">MAX(AO19-AQ19,0)</f>
        <v>0</v>
      </c>
      <c r="AS19" s="23" t="str">
        <f>IF(SUMPRODUCT($J$72:AR$72,$J19:AR19)&lt;0.5, "Pending", IF(AR19&lt;0.5, "Complete", "In Progress"))</f>
        <v>Complete</v>
      </c>
      <c r="AT19" s="22">
        <v>0</v>
      </c>
      <c r="AU19" s="22">
        <f t="shared" ref="AU19" si="151">MAX(AR19-AT19,0)</f>
        <v>0</v>
      </c>
      <c r="AV19" s="23" t="str">
        <f>IF(SUMPRODUCT($J$72:AU$72,$J19:AU19)&lt;0.5, "Pending", IF(AU19&lt;0.5, "Complete", "In Progress"))</f>
        <v>Complete</v>
      </c>
      <c r="AW19" s="22">
        <v>0</v>
      </c>
      <c r="AX19" s="22">
        <f t="shared" ref="AX19" si="152">MAX(AU19-AW19,0)</f>
        <v>0</v>
      </c>
      <c r="AY19" s="23" t="str">
        <f>IF(SUMPRODUCT($J$72:AX$72,$J19:AX19)&lt;0.5,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IF(SUMPRODUCT($J$72:BA$72,$J19:BA19)&lt;0.5, "Pending", IF(BA19&lt;0.5, "Complete", "In Progress"))</f>
        <v>#REF!</v>
      </c>
      <c r="BC19" s="22">
        <v>0</v>
      </c>
      <c r="BD19" s="22" t="e">
        <f t="shared" ref="BD19" si="153">MAX(BA19-BC19,0)</f>
        <v>#REF!</v>
      </c>
      <c r="BE19" s="23" t="e">
        <f>IF(SUMPRODUCT($J$72:BD$72,$J19:BD19)&lt;0.5, "Pending", IF(BD19&lt;0.5, "Complete", "In Progress"))</f>
        <v>#REF!</v>
      </c>
      <c r="BF19" s="22">
        <v>0</v>
      </c>
      <c r="BG19" s="22" t="e">
        <f t="shared" ref="BG19" si="154">MAX(BD19-BF19,0)</f>
        <v>#REF!</v>
      </c>
      <c r="BH19" s="23" t="e">
        <f>IF(SUMPRODUCT($J$72:BG$72,$J19:BG19)&lt;0.5, "Pending", IF(BG19&lt;0.5, "Complete", "In Progress"))</f>
        <v>#REF!</v>
      </c>
      <c r="BI19" s="22">
        <v>0</v>
      </c>
      <c r="BJ19" s="22" t="e">
        <f t="shared" ref="BJ19" si="155">MAX(BG19-BI19,0)</f>
        <v>#REF!</v>
      </c>
      <c r="BK19" s="23" t="e">
        <f>IF(SUMPRODUCT($J$72:BJ$72,$J19:BJ19)&lt;0.5, "Pending", IF(BJ19&lt;0.5, "Complete", "In Progress"))</f>
        <v>#REF!</v>
      </c>
      <c r="BL19" s="22">
        <v>0</v>
      </c>
      <c r="BM19" s="22" t="e">
        <f t="shared" ref="BM19" si="156">MAX(BJ19-BL19,0)</f>
        <v>#REF!</v>
      </c>
      <c r="BN19" s="23" t="e">
        <f>IF(SUMPRODUCT($J$72:BM$72,$J19:BM19)&lt;0.5, "Pending", IF(BM19&lt;0.5, "Complete", "In Progress"))</f>
        <v>#REF!</v>
      </c>
      <c r="BO19" s="22">
        <v>0</v>
      </c>
      <c r="BP19" s="22" t="e">
        <f t="shared" ref="BP19" si="157">MAX(BM19-BO19,0)</f>
        <v>#REF!</v>
      </c>
      <c r="BQ19" s="23" t="e">
        <f>IF(SUMPRODUCT($J$72:BP$72,$J19:BP19)&lt;0.5, "Pending", IF(BP19&lt;0.5, "Complete", "In Progress"))</f>
        <v>#REF!</v>
      </c>
      <c r="BR19" s="22">
        <v>0</v>
      </c>
      <c r="BS19" s="22" t="e">
        <f t="shared" ref="BS19" si="158">MAX(BP19-BR19,0)</f>
        <v>#REF!</v>
      </c>
      <c r="BT19" s="23" t="e">
        <f>IF(SUMPRODUCT($J$72:BS$72,$J19:BS19)&lt;0.5, "Pending", IF(BS19&lt;0.5, "Complete", "In Progress"))</f>
        <v>#REF!</v>
      </c>
      <c r="BU19" s="22">
        <v>0</v>
      </c>
      <c r="BV19" s="22" t="e">
        <f t="shared" ref="BV19" si="159">MAX(BS19-BU19,0)</f>
        <v>#REF!</v>
      </c>
      <c r="BW19" s="23" t="e">
        <f>IF(SUMPRODUCT($J$72:BV$72,$J19:BV19)&lt;0.5, "Pending", IF(BV19&lt;0.5, "Complete", "In Progress"))</f>
        <v>#REF!</v>
      </c>
      <c r="BX19" s="22">
        <v>0</v>
      </c>
      <c r="BY19" s="22" t="e">
        <f t="shared" ref="BY19" si="160">MAX(BV19-BX19,0)</f>
        <v>#REF!</v>
      </c>
      <c r="BZ19" s="23" t="e">
        <f>IF(SUMPRODUCT($J$72:BY$72,$J19:BY19)&lt;0.5, "Pending", IF(BY19&lt;0.5, "Complete", "In Progress"))</f>
        <v>#REF!</v>
      </c>
      <c r="CA19" s="22">
        <v>0</v>
      </c>
      <c r="CB19" s="22" t="e">
        <f t="shared" ref="CB19" si="161">MAX(BY19-CA19,0)</f>
        <v>#REF!</v>
      </c>
      <c r="CC19" s="23" t="e">
        <f>IF(SUMPRODUCT($J$72:CB$72,$J19:CB19)&lt;0.5, "Pending", IF(CB19&lt;0.5, "Complete", "In Progress"))</f>
        <v>#REF!</v>
      </c>
      <c r="CD19" s="24"/>
      <c r="CE19" s="25">
        <f>SUMPRODUCT($H$72:AY$72,$H19:AY19)</f>
        <v>4</v>
      </c>
    </row>
    <row r="20" spans="1:83" x14ac:dyDescent="0.2">
      <c r="A20" s="16" t="s">
        <v>107</v>
      </c>
      <c r="B20" s="16" t="s">
        <v>117</v>
      </c>
      <c r="C20" s="16"/>
      <c r="D20" s="17">
        <v>17</v>
      </c>
      <c r="E20" s="178" t="s">
        <v>166</v>
      </c>
      <c r="F20" s="18" t="s">
        <v>142</v>
      </c>
      <c r="G20" s="19" t="e">
        <f t="shared" ca="1" si="0"/>
        <v>#REF!</v>
      </c>
      <c r="H20" s="20">
        <v>1</v>
      </c>
      <c r="I20" s="21">
        <v>4</v>
      </c>
      <c r="J20" s="22">
        <v>2</v>
      </c>
      <c r="K20" s="22">
        <f t="shared" si="24"/>
        <v>2</v>
      </c>
      <c r="L20" s="23" t="str">
        <f>IF(SUMPRODUCT($J$72:K$72,$J20:K20)&lt;0.5, "Pending", IF(K20&lt;0.5, "Complete", "In Progress"))</f>
        <v>In Progress</v>
      </c>
      <c r="M20" s="22">
        <v>2</v>
      </c>
      <c r="N20" s="22">
        <f t="shared" si="25"/>
        <v>0</v>
      </c>
      <c r="O20" s="23" t="str">
        <f>IF(SUMPRODUCT($J$72:N$72,$J20:N20)&lt;0.5, "Pending", IF(N20&lt;0.5, "Complete", "In Progress"))</f>
        <v>Complete</v>
      </c>
      <c r="P20" s="22">
        <v>0</v>
      </c>
      <c r="Q20" s="22">
        <f t="shared" si="26"/>
        <v>0</v>
      </c>
      <c r="R20" s="23" t="str">
        <f>IF(SUMPRODUCT($J$72:Q$72,$J20:Q20)&lt;0.5, "Pending", IF(Q20&lt;0.5, "Complete", "In Progress"))</f>
        <v>Complete</v>
      </c>
      <c r="S20" s="22">
        <v>0</v>
      </c>
      <c r="T20" s="22">
        <f t="shared" si="27"/>
        <v>0</v>
      </c>
      <c r="U20" s="23" t="str">
        <f>IF(SUMPRODUCT($J$72:T$72,$J20:T20)&lt;0.5, "Pending", IF(T20&lt;0.5, "Complete", "In Progress"))</f>
        <v>Complete</v>
      </c>
      <c r="V20" s="22">
        <v>0</v>
      </c>
      <c r="W20" s="22">
        <f t="shared" si="28"/>
        <v>0</v>
      </c>
      <c r="X20" s="23" t="str">
        <f>IF(SUMPRODUCT($J$72:W$72,$J20:W20)&lt;0.5, "Pending", IF(W20&lt;0.5, "Complete", "In Progress"))</f>
        <v>Complete</v>
      </c>
      <c r="Y20" s="22">
        <v>0</v>
      </c>
      <c r="Z20" s="22">
        <f t="shared" si="29"/>
        <v>0</v>
      </c>
      <c r="AA20" s="23" t="str">
        <f>IF(SUMPRODUCT($J$72:Z$72,$J20:Z20)&lt;0.5, "Pending", IF(Z20&lt;0.5, "Complete", "In Progress"))</f>
        <v>Complete</v>
      </c>
      <c r="AB20" s="22">
        <v>0</v>
      </c>
      <c r="AC20" s="22">
        <f t="shared" si="30"/>
        <v>0</v>
      </c>
      <c r="AD20" s="23" t="str">
        <f>IF(SUMPRODUCT($J$72:AC$72,$J20:AC20)&lt;0.5, "Pending", IF(AC20&lt;0.5, "Complete", "In Progress"))</f>
        <v>Complete</v>
      </c>
      <c r="AE20" s="22">
        <v>0</v>
      </c>
      <c r="AF20" s="22">
        <f t="shared" si="31"/>
        <v>0</v>
      </c>
      <c r="AG20" s="23" t="str">
        <f>IF(SUMPRODUCT($J$72:AF$72,$J20:AF20)&lt;0.5, "Pending", IF(AF20&lt;0.5, "Complete", "In Progress"))</f>
        <v>Complete</v>
      </c>
      <c r="AH20" s="22">
        <v>0</v>
      </c>
      <c r="AI20" s="22">
        <f t="shared" si="32"/>
        <v>0</v>
      </c>
      <c r="AJ20" s="23" t="str">
        <f>IF(SUMPRODUCT($J$72:AI$72,$J20:AI20)&lt;0.5, "Pending", IF(AI20&lt;0.5, "Complete", "In Progress"))</f>
        <v>Complete</v>
      </c>
      <c r="AK20" s="22">
        <v>0</v>
      </c>
      <c r="AL20" s="22">
        <f t="shared" si="33"/>
        <v>0</v>
      </c>
      <c r="AM20" s="23" t="str">
        <f>IF(SUMPRODUCT($J$72:AL$72,$J20:AL20)&lt;0.5, "Pending", IF(AL20&lt;0.5, "Complete", "In Progress"))</f>
        <v>Complete</v>
      </c>
      <c r="AN20" s="22">
        <v>0</v>
      </c>
      <c r="AO20" s="22">
        <f t="shared" si="34"/>
        <v>0</v>
      </c>
      <c r="AP20" s="23" t="str">
        <f>IF(SUMPRODUCT($J$72:AO$72,$J20:AO20)&lt;0.5, "Pending", IF(AO20&lt;0.5, "Complete", "In Progress"))</f>
        <v>Complete</v>
      </c>
      <c r="AQ20" s="22">
        <v>0</v>
      </c>
      <c r="AR20" s="22">
        <f t="shared" si="35"/>
        <v>0</v>
      </c>
      <c r="AS20" s="23" t="str">
        <f>IF(SUMPRODUCT($J$72:AR$72,$J20:AR20)&lt;0.5, "Pending", IF(AR20&lt;0.5, "Complete", "In Progress"))</f>
        <v>Complete</v>
      </c>
      <c r="AT20" s="22">
        <v>0</v>
      </c>
      <c r="AU20" s="22">
        <f t="shared" si="36"/>
        <v>0</v>
      </c>
      <c r="AV20" s="23" t="str">
        <f>IF(SUMPRODUCT($J$72:AU$72,$J20:AU20)&lt;0.5, "Pending", IF(AU20&lt;0.5, "Complete", "In Progress"))</f>
        <v>Complete</v>
      </c>
      <c r="AW20" s="22">
        <v>0</v>
      </c>
      <c r="AX20" s="22">
        <f t="shared" si="37"/>
        <v>0</v>
      </c>
      <c r="AY20" s="23" t="str">
        <f>IF(SUMPRODUCT($J$72:AX$72,$J20:AX20)&lt;0.5,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IF(SUMPRODUCT($J$72:BA$72,$J20:BA20)&lt;0.5,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IF(SUMPRODUCT($J$72:BD$72,$J20:BD20)&lt;0.5,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IF(SUMPRODUCT($J$72:BG$72,$J20:BG20)&lt;0.5,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IF(SUMPRODUCT($J$72:BJ$72,$J20:BJ20)&lt;0.5,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IF(SUMPRODUCT($J$72:BM$72,$J20:BM20)&lt;0.5,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IF(SUMPRODUCT($J$72:BP$72,$J20:BP20)&lt;0.5,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IF(SUMPRODUCT($J$72:BS$72,$J20:BS20)&lt;0.5,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IF(SUMPRODUCT($J$72:BV$72,$J20:BV20)&lt;0.5,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IF(SUMPRODUCT($J$72:BY$72,$J20:BY20)&lt;0.5,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IF(SUMPRODUCT($J$72:CB$72,$J20:CB20)&lt;0.5, "Pending", IF(CB20&lt;0.5, "Complete", "In Progress"))</f>
        <v>#REF!</v>
      </c>
      <c r="CD20" s="24"/>
      <c r="CE20" s="25">
        <f>SUMPRODUCT($H$72:AY$72,$H20:AY20)</f>
        <v>4</v>
      </c>
    </row>
    <row r="21" spans="1:83" x14ac:dyDescent="0.2">
      <c r="A21" s="16" t="s">
        <v>107</v>
      </c>
      <c r="B21" s="16" t="s">
        <v>117</v>
      </c>
      <c r="C21" s="16"/>
      <c r="D21" s="17">
        <v>18</v>
      </c>
      <c r="E21" s="178" t="s">
        <v>166</v>
      </c>
      <c r="F21" s="18" t="s">
        <v>148</v>
      </c>
      <c r="G21" s="19" t="e">
        <f t="shared" ca="1" si="0"/>
        <v>#REF!</v>
      </c>
      <c r="H21" s="20">
        <v>1</v>
      </c>
      <c r="I21" s="21">
        <v>4</v>
      </c>
      <c r="J21" s="22">
        <v>2</v>
      </c>
      <c r="K21" s="22">
        <f t="shared" ref="K21" si="162">MAX(I21-J21, 0)</f>
        <v>2</v>
      </c>
      <c r="L21" s="23" t="str">
        <f>IF(SUMPRODUCT($J$72:K$72,$J21:K21)&lt;0.5, "Pending", IF(K21&lt;0.5, "Complete", "In Progress"))</f>
        <v>In Progress</v>
      </c>
      <c r="M21" s="22">
        <v>2</v>
      </c>
      <c r="N21" s="22">
        <f t="shared" ref="N21" si="163">MAX(K21-M21,0)</f>
        <v>0</v>
      </c>
      <c r="O21" s="23" t="str">
        <f>IF(SUMPRODUCT($J$72:N$72,$J21:N21)&lt;0.5, "Pending", IF(N21&lt;0.5, "Complete", "In Progress"))</f>
        <v>Complete</v>
      </c>
      <c r="P21" s="22">
        <v>0</v>
      </c>
      <c r="Q21" s="22">
        <f t="shared" ref="Q21" si="164">MAX(N21-P21,0)</f>
        <v>0</v>
      </c>
      <c r="R21" s="23" t="str">
        <f>IF(SUMPRODUCT($J$72:Q$72,$J21:Q21)&lt;0.5, "Pending", IF(Q21&lt;0.5, "Complete", "In Progress"))</f>
        <v>Complete</v>
      </c>
      <c r="S21" s="22">
        <v>0</v>
      </c>
      <c r="T21" s="22">
        <f t="shared" ref="T21" si="165">MAX(Q21-S21,0)</f>
        <v>0</v>
      </c>
      <c r="U21" s="23" t="str">
        <f>IF(SUMPRODUCT($J$72:T$72,$J21:T21)&lt;0.5, "Pending", IF(T21&lt;0.5, "Complete", "In Progress"))</f>
        <v>Complete</v>
      </c>
      <c r="V21" s="22">
        <v>0</v>
      </c>
      <c r="W21" s="22">
        <f t="shared" ref="W21" si="166">MAX(T21-V21,0)</f>
        <v>0</v>
      </c>
      <c r="X21" s="23" t="str">
        <f>IF(SUMPRODUCT($J$72:W$72,$J21:W21)&lt;0.5, "Pending", IF(W21&lt;0.5, "Complete", "In Progress"))</f>
        <v>Complete</v>
      </c>
      <c r="Y21" s="22">
        <v>0</v>
      </c>
      <c r="Z21" s="22">
        <f t="shared" ref="Z21" si="167">MAX(W21-Y21,0)</f>
        <v>0</v>
      </c>
      <c r="AA21" s="23" t="str">
        <f>IF(SUMPRODUCT($J$72:Z$72,$J21:Z21)&lt;0.5, "Pending", IF(Z21&lt;0.5, "Complete", "In Progress"))</f>
        <v>Complete</v>
      </c>
      <c r="AB21" s="22">
        <v>0</v>
      </c>
      <c r="AC21" s="22">
        <f t="shared" ref="AC21" si="168">MAX(Z21-AB21,0)</f>
        <v>0</v>
      </c>
      <c r="AD21" s="23" t="str">
        <f>IF(SUMPRODUCT($J$72:AC$72,$J21:AC21)&lt;0.5, "Pending", IF(AC21&lt;0.5, "Complete", "In Progress"))</f>
        <v>Complete</v>
      </c>
      <c r="AE21" s="22">
        <v>0</v>
      </c>
      <c r="AF21" s="22">
        <f t="shared" ref="AF21" si="169">MAX(AC21-AE21,0)</f>
        <v>0</v>
      </c>
      <c r="AG21" s="23" t="str">
        <f>IF(SUMPRODUCT($J$72:AF$72,$J21:AF21)&lt;0.5, "Pending", IF(AF21&lt;0.5, "Complete", "In Progress"))</f>
        <v>Complete</v>
      </c>
      <c r="AH21" s="22">
        <v>0</v>
      </c>
      <c r="AI21" s="22">
        <f t="shared" ref="AI21" si="170">MAX(AF21-AH21,0)</f>
        <v>0</v>
      </c>
      <c r="AJ21" s="23" t="str">
        <f>IF(SUMPRODUCT($J$72:AI$72,$J21:AI21)&lt;0.5, "Pending", IF(AI21&lt;0.5, "Complete", "In Progress"))</f>
        <v>Complete</v>
      </c>
      <c r="AK21" s="22">
        <v>0</v>
      </c>
      <c r="AL21" s="22">
        <f t="shared" ref="AL21" si="171">MAX(AI21-AK21,0)</f>
        <v>0</v>
      </c>
      <c r="AM21" s="23" t="str">
        <f>IF(SUMPRODUCT($J$72:AL$72,$J21:AL21)&lt;0.5, "Pending", IF(AL21&lt;0.5, "Complete", "In Progress"))</f>
        <v>Complete</v>
      </c>
      <c r="AN21" s="22">
        <v>0</v>
      </c>
      <c r="AO21" s="22">
        <f t="shared" ref="AO21" si="172">MAX(AL21-AN21,0)</f>
        <v>0</v>
      </c>
      <c r="AP21" s="23" t="str">
        <f>IF(SUMPRODUCT($J$72:AO$72,$J21:AO21)&lt;0.5, "Pending", IF(AO21&lt;0.5, "Complete", "In Progress"))</f>
        <v>Complete</v>
      </c>
      <c r="AQ21" s="22">
        <v>0</v>
      </c>
      <c r="AR21" s="22">
        <f t="shared" ref="AR21" si="173">MAX(AO21-AQ21,0)</f>
        <v>0</v>
      </c>
      <c r="AS21" s="23" t="str">
        <f>IF(SUMPRODUCT($J$72:AR$72,$J21:AR21)&lt;0.5, "Pending", IF(AR21&lt;0.5, "Complete", "In Progress"))</f>
        <v>Complete</v>
      </c>
      <c r="AT21" s="22">
        <v>0</v>
      </c>
      <c r="AU21" s="22">
        <f t="shared" ref="AU21" si="174">MAX(AR21-AT21,0)</f>
        <v>0</v>
      </c>
      <c r="AV21" s="23" t="str">
        <f>IF(SUMPRODUCT($J$72:AU$72,$J21:AU21)&lt;0.5, "Pending", IF(AU21&lt;0.5, "Complete", "In Progress"))</f>
        <v>Complete</v>
      </c>
      <c r="AW21" s="22">
        <v>0</v>
      </c>
      <c r="AX21" s="22">
        <f t="shared" ref="AX21" si="175">MAX(AU21-AW21,0)</f>
        <v>0</v>
      </c>
      <c r="AY21" s="23" t="str">
        <f>IF(SUMPRODUCT($J$72:AX$72,$J21:AX21)&lt;0.5,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IF(SUMPRODUCT($J$72:BA$72,$J21:BA21)&lt;0.5, "Pending", IF(BA21&lt;0.5, "Complete", "In Progress"))</f>
        <v>#REF!</v>
      </c>
      <c r="BC21" s="22">
        <v>0</v>
      </c>
      <c r="BD21" s="22" t="e">
        <f t="shared" ref="BD21" si="176">MAX(BA21-BC21,0)</f>
        <v>#REF!</v>
      </c>
      <c r="BE21" s="23" t="e">
        <f>IF(SUMPRODUCT($J$72:BD$72,$J21:BD21)&lt;0.5, "Pending", IF(BD21&lt;0.5, "Complete", "In Progress"))</f>
        <v>#REF!</v>
      </c>
      <c r="BF21" s="22">
        <v>0</v>
      </c>
      <c r="BG21" s="22" t="e">
        <f t="shared" ref="BG21" si="177">MAX(BD21-BF21,0)</f>
        <v>#REF!</v>
      </c>
      <c r="BH21" s="23" t="e">
        <f>IF(SUMPRODUCT($J$72:BG$72,$J21:BG21)&lt;0.5, "Pending", IF(BG21&lt;0.5, "Complete", "In Progress"))</f>
        <v>#REF!</v>
      </c>
      <c r="BI21" s="22">
        <v>0</v>
      </c>
      <c r="BJ21" s="22" t="e">
        <f t="shared" ref="BJ21" si="178">MAX(BG21-BI21,0)</f>
        <v>#REF!</v>
      </c>
      <c r="BK21" s="23" t="e">
        <f>IF(SUMPRODUCT($J$72:BJ$72,$J21:BJ21)&lt;0.5, "Pending", IF(BJ21&lt;0.5, "Complete", "In Progress"))</f>
        <v>#REF!</v>
      </c>
      <c r="BL21" s="22">
        <v>0</v>
      </c>
      <c r="BM21" s="22" t="e">
        <f t="shared" ref="BM21" si="179">MAX(BJ21-BL21,0)</f>
        <v>#REF!</v>
      </c>
      <c r="BN21" s="23" t="e">
        <f>IF(SUMPRODUCT($J$72:BM$72,$J21:BM21)&lt;0.5, "Pending", IF(BM21&lt;0.5, "Complete", "In Progress"))</f>
        <v>#REF!</v>
      </c>
      <c r="BO21" s="22">
        <v>0</v>
      </c>
      <c r="BP21" s="22" t="e">
        <f t="shared" ref="BP21" si="180">MAX(BM21-BO21,0)</f>
        <v>#REF!</v>
      </c>
      <c r="BQ21" s="23" t="e">
        <f>IF(SUMPRODUCT($J$72:BP$72,$J21:BP21)&lt;0.5, "Pending", IF(BP21&lt;0.5, "Complete", "In Progress"))</f>
        <v>#REF!</v>
      </c>
      <c r="BR21" s="22">
        <v>0</v>
      </c>
      <c r="BS21" s="22" t="e">
        <f t="shared" ref="BS21" si="181">MAX(BP21-BR21,0)</f>
        <v>#REF!</v>
      </c>
      <c r="BT21" s="23" t="e">
        <f>IF(SUMPRODUCT($J$72:BS$72,$J21:BS21)&lt;0.5, "Pending", IF(BS21&lt;0.5, "Complete", "In Progress"))</f>
        <v>#REF!</v>
      </c>
      <c r="BU21" s="22">
        <v>0</v>
      </c>
      <c r="BV21" s="22" t="e">
        <f t="shared" ref="BV21" si="182">MAX(BS21-BU21,0)</f>
        <v>#REF!</v>
      </c>
      <c r="BW21" s="23" t="e">
        <f>IF(SUMPRODUCT($J$72:BV$72,$J21:BV21)&lt;0.5, "Pending", IF(BV21&lt;0.5, "Complete", "In Progress"))</f>
        <v>#REF!</v>
      </c>
      <c r="BX21" s="22">
        <v>0</v>
      </c>
      <c r="BY21" s="22" t="e">
        <f t="shared" ref="BY21" si="183">MAX(BV21-BX21,0)</f>
        <v>#REF!</v>
      </c>
      <c r="BZ21" s="23" t="e">
        <f>IF(SUMPRODUCT($J$72:BY$72,$J21:BY21)&lt;0.5, "Pending", IF(BY21&lt;0.5, "Complete", "In Progress"))</f>
        <v>#REF!</v>
      </c>
      <c r="CA21" s="22">
        <v>0</v>
      </c>
      <c r="CB21" s="22" t="e">
        <f t="shared" ref="CB21" si="184">MAX(BY21-CA21,0)</f>
        <v>#REF!</v>
      </c>
      <c r="CC21" s="23" t="e">
        <f>IF(SUMPRODUCT($J$72:CB$72,$J21:CB21)&lt;0.5, "Pending", IF(CB21&lt;0.5, "Complete", "In Progress"))</f>
        <v>#REF!</v>
      </c>
      <c r="CD21" s="24"/>
      <c r="CE21" s="25">
        <f>SUMPRODUCT($H$72:AY$72,$H21:AY21)</f>
        <v>4</v>
      </c>
    </row>
    <row r="22" spans="1:83" x14ac:dyDescent="0.2">
      <c r="A22" s="16" t="s">
        <v>107</v>
      </c>
      <c r="B22" s="16" t="s">
        <v>117</v>
      </c>
      <c r="C22" s="16"/>
      <c r="D22" s="17">
        <v>19</v>
      </c>
      <c r="E22" s="178" t="s">
        <v>166</v>
      </c>
      <c r="F22" s="18" t="s">
        <v>144</v>
      </c>
      <c r="G22" s="19" t="e">
        <f t="shared" ca="1" si="0"/>
        <v>#REF!</v>
      </c>
      <c r="H22" s="20">
        <v>1</v>
      </c>
      <c r="I22" s="21">
        <v>4</v>
      </c>
      <c r="J22" s="22">
        <v>2</v>
      </c>
      <c r="K22" s="22">
        <f t="shared" si="24"/>
        <v>2</v>
      </c>
      <c r="L22" s="23" t="str">
        <f>IF(SUMPRODUCT($J$72:K$72,$J22:K22)&lt;0.5, "Pending", IF(K22&lt;0.5, "Complete", "In Progress"))</f>
        <v>In Progress</v>
      </c>
      <c r="M22" s="22">
        <v>2</v>
      </c>
      <c r="N22" s="22">
        <f t="shared" si="25"/>
        <v>0</v>
      </c>
      <c r="O22" s="23" t="str">
        <f>IF(SUMPRODUCT($J$72:N$72,$J22:N22)&lt;0.5, "Pending", IF(N22&lt;0.5, "Complete", "In Progress"))</f>
        <v>Complete</v>
      </c>
      <c r="P22" s="22">
        <v>0</v>
      </c>
      <c r="Q22" s="22">
        <f t="shared" si="26"/>
        <v>0</v>
      </c>
      <c r="R22" s="23" t="str">
        <f>IF(SUMPRODUCT($J$72:Q$72,$J22:Q22)&lt;0.5, "Pending", IF(Q22&lt;0.5, "Complete", "In Progress"))</f>
        <v>Complete</v>
      </c>
      <c r="S22" s="22">
        <v>0</v>
      </c>
      <c r="T22" s="22">
        <f t="shared" si="27"/>
        <v>0</v>
      </c>
      <c r="U22" s="23" t="str">
        <f>IF(SUMPRODUCT($J$72:T$72,$J22:T22)&lt;0.5, "Pending", IF(T22&lt;0.5, "Complete", "In Progress"))</f>
        <v>Complete</v>
      </c>
      <c r="V22" s="22">
        <v>0</v>
      </c>
      <c r="W22" s="22">
        <f t="shared" si="28"/>
        <v>0</v>
      </c>
      <c r="X22" s="23" t="str">
        <f>IF(SUMPRODUCT($J$72:W$72,$J22:W22)&lt;0.5, "Pending", IF(W22&lt;0.5, "Complete", "In Progress"))</f>
        <v>Complete</v>
      </c>
      <c r="Y22" s="22">
        <v>0</v>
      </c>
      <c r="Z22" s="22">
        <f t="shared" si="29"/>
        <v>0</v>
      </c>
      <c r="AA22" s="23" t="str">
        <f>IF(SUMPRODUCT($J$72:Z$72,$J22:Z22)&lt;0.5, "Pending", IF(Z22&lt;0.5, "Complete", "In Progress"))</f>
        <v>Complete</v>
      </c>
      <c r="AB22" s="22">
        <v>0</v>
      </c>
      <c r="AC22" s="22">
        <f t="shared" si="30"/>
        <v>0</v>
      </c>
      <c r="AD22" s="23" t="str">
        <f>IF(SUMPRODUCT($J$72:AC$72,$J22:AC22)&lt;0.5, "Pending", IF(AC22&lt;0.5, "Complete", "In Progress"))</f>
        <v>Complete</v>
      </c>
      <c r="AE22" s="22">
        <v>0</v>
      </c>
      <c r="AF22" s="22">
        <f t="shared" si="31"/>
        <v>0</v>
      </c>
      <c r="AG22" s="23" t="str">
        <f>IF(SUMPRODUCT($J$72:AF$72,$J22:AF22)&lt;0.5, "Pending", IF(AF22&lt;0.5, "Complete", "In Progress"))</f>
        <v>Complete</v>
      </c>
      <c r="AH22" s="22">
        <v>0</v>
      </c>
      <c r="AI22" s="22">
        <f t="shared" si="32"/>
        <v>0</v>
      </c>
      <c r="AJ22" s="23" t="str">
        <f>IF(SUMPRODUCT($J$72:AI$72,$J22:AI22)&lt;0.5, "Pending", IF(AI22&lt;0.5, "Complete", "In Progress"))</f>
        <v>Complete</v>
      </c>
      <c r="AK22" s="22">
        <v>0</v>
      </c>
      <c r="AL22" s="22">
        <f t="shared" si="33"/>
        <v>0</v>
      </c>
      <c r="AM22" s="23" t="str">
        <f>IF(SUMPRODUCT($J$72:AL$72,$J22:AL22)&lt;0.5, "Pending", IF(AL22&lt;0.5, "Complete", "In Progress"))</f>
        <v>Complete</v>
      </c>
      <c r="AN22" s="22">
        <v>0</v>
      </c>
      <c r="AO22" s="22">
        <f t="shared" si="34"/>
        <v>0</v>
      </c>
      <c r="AP22" s="23" t="str">
        <f>IF(SUMPRODUCT($J$72:AO$72,$J22:AO22)&lt;0.5, "Pending", IF(AO22&lt;0.5, "Complete", "In Progress"))</f>
        <v>Complete</v>
      </c>
      <c r="AQ22" s="22">
        <v>0</v>
      </c>
      <c r="AR22" s="22">
        <f t="shared" si="35"/>
        <v>0</v>
      </c>
      <c r="AS22" s="23" t="str">
        <f>IF(SUMPRODUCT($J$72:AR$72,$J22:AR22)&lt;0.5, "Pending", IF(AR22&lt;0.5, "Complete", "In Progress"))</f>
        <v>Complete</v>
      </c>
      <c r="AT22" s="22">
        <v>0</v>
      </c>
      <c r="AU22" s="22">
        <f t="shared" si="36"/>
        <v>0</v>
      </c>
      <c r="AV22" s="23" t="str">
        <f>IF(SUMPRODUCT($J$72:AU$72,$J22:AU22)&lt;0.5, "Pending", IF(AU22&lt;0.5, "Complete", "In Progress"))</f>
        <v>Complete</v>
      </c>
      <c r="AW22" s="22">
        <v>0</v>
      </c>
      <c r="AX22" s="22">
        <f t="shared" si="37"/>
        <v>0</v>
      </c>
      <c r="AY22" s="23" t="str">
        <f>IF(SUMPRODUCT($J$72:AX$72,$J22:AX22)&lt;0.5,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IF(SUMPRODUCT($J$72:BA$72,$J22:BA22)&lt;0.5,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IF(SUMPRODUCT($J$72:BD$72,$J22:BD22)&lt;0.5,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IF(SUMPRODUCT($J$72:BG$72,$J22:BG22)&lt;0.5,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IF(SUMPRODUCT($J$72:BJ$72,$J22:BJ22)&lt;0.5,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IF(SUMPRODUCT($J$72:BM$72,$J22:BM22)&lt;0.5,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IF(SUMPRODUCT($J$72:BP$72,$J22:BP22)&lt;0.5,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IF(SUMPRODUCT($J$72:BS$72,$J22:BS22)&lt;0.5,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IF(SUMPRODUCT($J$72:BV$72,$J22:BV22)&lt;0.5,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IF(SUMPRODUCT($J$72:BY$72,$J22:BY22)&lt;0.5,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IF(SUMPRODUCT($J$72:CB$72,$J22:CB22)&lt;0.5, "Pending", IF(CB22&lt;0.5, "Complete", "In Progress"))</f>
        <v>#REF!</v>
      </c>
      <c r="CD22" s="24"/>
      <c r="CE22" s="25">
        <f>SUMPRODUCT($H$72:AY$72,$H22:AY22)</f>
        <v>4</v>
      </c>
    </row>
    <row r="23" spans="1:83" x14ac:dyDescent="0.2">
      <c r="A23" s="16" t="s">
        <v>107</v>
      </c>
      <c r="B23" s="16" t="s">
        <v>117</v>
      </c>
      <c r="C23" s="16"/>
      <c r="D23" s="17">
        <v>20</v>
      </c>
      <c r="E23" s="178" t="s">
        <v>166</v>
      </c>
      <c r="F23" s="18" t="s">
        <v>152</v>
      </c>
      <c r="G23" s="19" t="e">
        <f t="shared" ca="1" si="0"/>
        <v>#REF!</v>
      </c>
      <c r="H23" s="20">
        <v>1</v>
      </c>
      <c r="I23" s="21">
        <v>4</v>
      </c>
      <c r="J23" s="22">
        <v>2</v>
      </c>
      <c r="K23" s="22">
        <f t="shared" ref="K23" si="185">MAX(I23-J23, 0)</f>
        <v>2</v>
      </c>
      <c r="L23" s="23" t="str">
        <f>IF(SUMPRODUCT($J$72:K$72,$J23:K23)&lt;0.5, "Pending", IF(K23&lt;0.5, "Complete", "In Progress"))</f>
        <v>In Progress</v>
      </c>
      <c r="M23" s="22">
        <v>2</v>
      </c>
      <c r="N23" s="22">
        <f t="shared" ref="N23" si="186">MAX(K23-M23,0)</f>
        <v>0</v>
      </c>
      <c r="O23" s="23" t="str">
        <f>IF(SUMPRODUCT($J$72:N$72,$J23:N23)&lt;0.5, "Pending", IF(N23&lt;0.5, "Complete", "In Progress"))</f>
        <v>Complete</v>
      </c>
      <c r="P23" s="22">
        <v>0</v>
      </c>
      <c r="Q23" s="22">
        <f t="shared" ref="Q23" si="187">MAX(N23-P23,0)</f>
        <v>0</v>
      </c>
      <c r="R23" s="23" t="str">
        <f>IF(SUMPRODUCT($J$72:Q$72,$J23:Q23)&lt;0.5, "Pending", IF(Q23&lt;0.5, "Complete", "In Progress"))</f>
        <v>Complete</v>
      </c>
      <c r="S23" s="22">
        <v>0</v>
      </c>
      <c r="T23" s="22">
        <f t="shared" ref="T23" si="188">MAX(Q23-S23,0)</f>
        <v>0</v>
      </c>
      <c r="U23" s="23" t="str">
        <f>IF(SUMPRODUCT($J$72:T$72,$J23:T23)&lt;0.5, "Pending", IF(T23&lt;0.5, "Complete", "In Progress"))</f>
        <v>Complete</v>
      </c>
      <c r="V23" s="22">
        <v>0</v>
      </c>
      <c r="W23" s="22">
        <f t="shared" ref="W23" si="189">MAX(T23-V23,0)</f>
        <v>0</v>
      </c>
      <c r="X23" s="23" t="str">
        <f>IF(SUMPRODUCT($J$72:W$72,$J23:W23)&lt;0.5, "Pending", IF(W23&lt;0.5, "Complete", "In Progress"))</f>
        <v>Complete</v>
      </c>
      <c r="Y23" s="22">
        <v>0</v>
      </c>
      <c r="Z23" s="22">
        <f t="shared" ref="Z23" si="190">MAX(W23-Y23,0)</f>
        <v>0</v>
      </c>
      <c r="AA23" s="23" t="str">
        <f>IF(SUMPRODUCT($J$72:Z$72,$J23:Z23)&lt;0.5, "Pending", IF(Z23&lt;0.5, "Complete", "In Progress"))</f>
        <v>Complete</v>
      </c>
      <c r="AB23" s="22">
        <v>0</v>
      </c>
      <c r="AC23" s="22">
        <f t="shared" ref="AC23" si="191">MAX(Z23-AB23,0)</f>
        <v>0</v>
      </c>
      <c r="AD23" s="23" t="str">
        <f>IF(SUMPRODUCT($J$72:AC$72,$J23:AC23)&lt;0.5, "Pending", IF(AC23&lt;0.5, "Complete", "In Progress"))</f>
        <v>Complete</v>
      </c>
      <c r="AE23" s="22">
        <v>0</v>
      </c>
      <c r="AF23" s="22">
        <f t="shared" ref="AF23" si="192">MAX(AC23-AE23,0)</f>
        <v>0</v>
      </c>
      <c r="AG23" s="23" t="str">
        <f>IF(SUMPRODUCT($J$72:AF$72,$J23:AF23)&lt;0.5, "Pending", IF(AF23&lt;0.5, "Complete", "In Progress"))</f>
        <v>Complete</v>
      </c>
      <c r="AH23" s="22">
        <v>0</v>
      </c>
      <c r="AI23" s="22">
        <f t="shared" ref="AI23" si="193">MAX(AF23-AH23,0)</f>
        <v>0</v>
      </c>
      <c r="AJ23" s="23" t="str">
        <f>IF(SUMPRODUCT($J$72:AI$72,$J23:AI23)&lt;0.5, "Pending", IF(AI23&lt;0.5, "Complete", "In Progress"))</f>
        <v>Complete</v>
      </c>
      <c r="AK23" s="22">
        <v>0</v>
      </c>
      <c r="AL23" s="22">
        <f t="shared" ref="AL23" si="194">MAX(AI23-AK23,0)</f>
        <v>0</v>
      </c>
      <c r="AM23" s="23" t="str">
        <f>IF(SUMPRODUCT($J$72:AL$72,$J23:AL23)&lt;0.5, "Pending", IF(AL23&lt;0.5, "Complete", "In Progress"))</f>
        <v>Complete</v>
      </c>
      <c r="AN23" s="22">
        <v>0</v>
      </c>
      <c r="AO23" s="22">
        <f t="shared" ref="AO23" si="195">MAX(AL23-AN23,0)</f>
        <v>0</v>
      </c>
      <c r="AP23" s="23" t="str">
        <f>IF(SUMPRODUCT($J$72:AO$72,$J23:AO23)&lt;0.5, "Pending", IF(AO23&lt;0.5, "Complete", "In Progress"))</f>
        <v>Complete</v>
      </c>
      <c r="AQ23" s="22">
        <v>0</v>
      </c>
      <c r="AR23" s="22">
        <f t="shared" ref="AR23" si="196">MAX(AO23-AQ23,0)</f>
        <v>0</v>
      </c>
      <c r="AS23" s="23" t="str">
        <f>IF(SUMPRODUCT($J$72:AR$72,$J23:AR23)&lt;0.5, "Pending", IF(AR23&lt;0.5, "Complete", "In Progress"))</f>
        <v>Complete</v>
      </c>
      <c r="AT23" s="22">
        <v>0</v>
      </c>
      <c r="AU23" s="22">
        <f t="shared" ref="AU23" si="197">MAX(AR23-AT23,0)</f>
        <v>0</v>
      </c>
      <c r="AV23" s="23" t="str">
        <f>IF(SUMPRODUCT($J$72:AU$72,$J23:AU23)&lt;0.5, "Pending", IF(AU23&lt;0.5, "Complete", "In Progress"))</f>
        <v>Complete</v>
      </c>
      <c r="AW23" s="22">
        <v>0</v>
      </c>
      <c r="AX23" s="22">
        <f t="shared" ref="AX23" si="198">MAX(AU23-AW23,0)</f>
        <v>0</v>
      </c>
      <c r="AY23" s="23" t="str">
        <f>IF(SUMPRODUCT($J$72:AX$72,$J23:AX23)&lt;0.5,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IF(SUMPRODUCT($J$72:BA$72,$J23:BA23)&lt;0.5, "Pending", IF(BA23&lt;0.5, "Complete", "In Progress"))</f>
        <v>#REF!</v>
      </c>
      <c r="BC23" s="22">
        <v>0</v>
      </c>
      <c r="BD23" s="22" t="e">
        <f t="shared" ref="BD23" si="199">MAX(BA23-BC23,0)</f>
        <v>#REF!</v>
      </c>
      <c r="BE23" s="23" t="e">
        <f>IF(SUMPRODUCT($J$72:BD$72,$J23:BD23)&lt;0.5, "Pending", IF(BD23&lt;0.5, "Complete", "In Progress"))</f>
        <v>#REF!</v>
      </c>
      <c r="BF23" s="22">
        <v>0</v>
      </c>
      <c r="BG23" s="22" t="e">
        <f t="shared" ref="BG23" si="200">MAX(BD23-BF23,0)</f>
        <v>#REF!</v>
      </c>
      <c r="BH23" s="23" t="e">
        <f>IF(SUMPRODUCT($J$72:BG$72,$J23:BG23)&lt;0.5, "Pending", IF(BG23&lt;0.5, "Complete", "In Progress"))</f>
        <v>#REF!</v>
      </c>
      <c r="BI23" s="22">
        <v>0</v>
      </c>
      <c r="BJ23" s="22" t="e">
        <f t="shared" ref="BJ23" si="201">MAX(BG23-BI23,0)</f>
        <v>#REF!</v>
      </c>
      <c r="BK23" s="23" t="e">
        <f>IF(SUMPRODUCT($J$72:BJ$72,$J23:BJ23)&lt;0.5, "Pending", IF(BJ23&lt;0.5, "Complete", "In Progress"))</f>
        <v>#REF!</v>
      </c>
      <c r="BL23" s="22">
        <v>0</v>
      </c>
      <c r="BM23" s="22" t="e">
        <f t="shared" ref="BM23" si="202">MAX(BJ23-BL23,0)</f>
        <v>#REF!</v>
      </c>
      <c r="BN23" s="23" t="e">
        <f>IF(SUMPRODUCT($J$72:BM$72,$J23:BM23)&lt;0.5, "Pending", IF(BM23&lt;0.5, "Complete", "In Progress"))</f>
        <v>#REF!</v>
      </c>
      <c r="BO23" s="22">
        <v>0</v>
      </c>
      <c r="BP23" s="22" t="e">
        <f t="shared" ref="BP23" si="203">MAX(BM23-BO23,0)</f>
        <v>#REF!</v>
      </c>
      <c r="BQ23" s="23" t="e">
        <f>IF(SUMPRODUCT($J$72:BP$72,$J23:BP23)&lt;0.5, "Pending", IF(BP23&lt;0.5, "Complete", "In Progress"))</f>
        <v>#REF!</v>
      </c>
      <c r="BR23" s="22">
        <v>0</v>
      </c>
      <c r="BS23" s="22" t="e">
        <f t="shared" ref="BS23" si="204">MAX(BP23-BR23,0)</f>
        <v>#REF!</v>
      </c>
      <c r="BT23" s="23" t="e">
        <f>IF(SUMPRODUCT($J$72:BS$72,$J23:BS23)&lt;0.5, "Pending", IF(BS23&lt;0.5, "Complete", "In Progress"))</f>
        <v>#REF!</v>
      </c>
      <c r="BU23" s="22">
        <v>0</v>
      </c>
      <c r="BV23" s="22" t="e">
        <f t="shared" ref="BV23" si="205">MAX(BS23-BU23,0)</f>
        <v>#REF!</v>
      </c>
      <c r="BW23" s="23" t="e">
        <f>IF(SUMPRODUCT($J$72:BV$72,$J23:BV23)&lt;0.5, "Pending", IF(BV23&lt;0.5, "Complete", "In Progress"))</f>
        <v>#REF!</v>
      </c>
      <c r="BX23" s="22">
        <v>0</v>
      </c>
      <c r="BY23" s="22" t="e">
        <f t="shared" ref="BY23" si="206">MAX(BV23-BX23,0)</f>
        <v>#REF!</v>
      </c>
      <c r="BZ23" s="23" t="e">
        <f>IF(SUMPRODUCT($J$72:BY$72,$J23:BY23)&lt;0.5, "Pending", IF(BY23&lt;0.5, "Complete", "In Progress"))</f>
        <v>#REF!</v>
      </c>
      <c r="CA23" s="22">
        <v>0</v>
      </c>
      <c r="CB23" s="22" t="e">
        <f t="shared" ref="CB23" si="207">MAX(BY23-CA23,0)</f>
        <v>#REF!</v>
      </c>
      <c r="CC23" s="23" t="e">
        <f>IF(SUMPRODUCT($J$72:CB$72,$J23:CB23)&lt;0.5, "Pending", IF(CB23&lt;0.5, "Complete", "In Progress"))</f>
        <v>#REF!</v>
      </c>
      <c r="CD23" s="24"/>
      <c r="CE23" s="25">
        <f>SUMPRODUCT($H$72:AY$72,$H23:AY23)</f>
        <v>4</v>
      </c>
    </row>
    <row r="24" spans="1:83" ht="13.5" thickBot="1" x14ac:dyDescent="0.25">
      <c r="A24" s="16" t="s">
        <v>107</v>
      </c>
      <c r="B24" s="16" t="s">
        <v>117</v>
      </c>
      <c r="C24" s="16"/>
      <c r="D24" s="17">
        <v>21</v>
      </c>
      <c r="E24" s="178" t="s">
        <v>166</v>
      </c>
      <c r="F24" s="18" t="s">
        <v>156</v>
      </c>
      <c r="G24" s="19" t="e">
        <f t="shared" ca="1" si="0"/>
        <v>#REF!</v>
      </c>
      <c r="H24" s="20">
        <v>1</v>
      </c>
      <c r="I24" s="21">
        <v>4</v>
      </c>
      <c r="J24" s="22">
        <v>2</v>
      </c>
      <c r="K24" s="22">
        <f t="shared" si="24"/>
        <v>2</v>
      </c>
      <c r="L24" s="23" t="str">
        <f>IF(SUMPRODUCT($J$72:K$72,$J24:K24)&lt;0.5, "Pending", IF(K24&lt;0.5, "Complete", "In Progress"))</f>
        <v>In Progress</v>
      </c>
      <c r="M24" s="22">
        <v>2</v>
      </c>
      <c r="N24" s="22">
        <f t="shared" si="25"/>
        <v>0</v>
      </c>
      <c r="O24" s="23" t="str">
        <f>IF(SUMPRODUCT($J$72:N$72,$J24:N24)&lt;0.5, "Pending", IF(N24&lt;0.5, "Complete", "In Progress"))</f>
        <v>Complete</v>
      </c>
      <c r="P24" s="22">
        <v>0</v>
      </c>
      <c r="Q24" s="22">
        <f t="shared" si="26"/>
        <v>0</v>
      </c>
      <c r="R24" s="23" t="str">
        <f>IF(SUMPRODUCT($J$72:Q$72,$J24:Q24)&lt;0.5, "Pending", IF(Q24&lt;0.5, "Complete", "In Progress"))</f>
        <v>Complete</v>
      </c>
      <c r="S24" s="22">
        <v>0</v>
      </c>
      <c r="T24" s="22">
        <f t="shared" si="27"/>
        <v>0</v>
      </c>
      <c r="U24" s="23" t="str">
        <f>IF(SUMPRODUCT($J$72:T$72,$J24:T24)&lt;0.5, "Pending", IF(T24&lt;0.5, "Complete", "In Progress"))</f>
        <v>Complete</v>
      </c>
      <c r="V24" s="22">
        <v>0</v>
      </c>
      <c r="W24" s="22">
        <f t="shared" si="28"/>
        <v>0</v>
      </c>
      <c r="X24" s="23" t="str">
        <f>IF(SUMPRODUCT($J$72:W$72,$J24:W24)&lt;0.5, "Pending", IF(W24&lt;0.5, "Complete", "In Progress"))</f>
        <v>Complete</v>
      </c>
      <c r="Y24" s="22">
        <v>0</v>
      </c>
      <c r="Z24" s="22">
        <f t="shared" si="29"/>
        <v>0</v>
      </c>
      <c r="AA24" s="23" t="str">
        <f>IF(SUMPRODUCT($J$72:Z$72,$J24:Z24)&lt;0.5, "Pending", IF(Z24&lt;0.5, "Complete", "In Progress"))</f>
        <v>Complete</v>
      </c>
      <c r="AB24" s="22">
        <v>0</v>
      </c>
      <c r="AC24" s="22">
        <f t="shared" si="30"/>
        <v>0</v>
      </c>
      <c r="AD24" s="23" t="str">
        <f>IF(SUMPRODUCT($J$72:AC$72,$J24:AC24)&lt;0.5, "Pending", IF(AC24&lt;0.5, "Complete", "In Progress"))</f>
        <v>Complete</v>
      </c>
      <c r="AE24" s="22">
        <v>0</v>
      </c>
      <c r="AF24" s="22">
        <f t="shared" si="31"/>
        <v>0</v>
      </c>
      <c r="AG24" s="23" t="str">
        <f>IF(SUMPRODUCT($J$72:AF$72,$J24:AF24)&lt;0.5,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IF(SUMPRODUCT($J$72:AI$72,$J24:AI24)&lt;0.5,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IF(SUMPRODUCT($J$72:AL$72,$J24:AL24)&lt;0.5,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IF(SUMPRODUCT($J$72:AO$72,$J24:AO24)&lt;0.5,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IF(SUMPRODUCT($J$72:AR$72,$J24:AR24)&lt;0.5,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IF(SUMPRODUCT($J$72:AU$72,$J24:AU24)&lt;0.5,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IF(SUMPRODUCT($J$72:AX$72,$J24:AX24)&lt;0.5,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IF(SUMPRODUCT($J$72:BA$72,$J24:BA24)&lt;0.5,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IF(SUMPRODUCT($J$72:BD$72,$J24:BD24)&lt;0.5,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IF(SUMPRODUCT($J$72:BG$72,$J24:BG24)&lt;0.5,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IF(SUMPRODUCT($J$72:BJ$72,$J24:BJ24)&lt;0.5,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IF(SUMPRODUCT($J$72:BM$72,$J24:BM24)&lt;0.5,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IF(SUMPRODUCT($J$72:BP$72,$J24:BP24)&lt;0.5,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IF(SUMPRODUCT($J$72:BS$72,$J24:BS24)&lt;0.5,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IF(SUMPRODUCT($J$72:BV$72,$J24:BV24)&lt;0.5,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IF(SUMPRODUCT($J$72:BY$72,$J24:BY24)&lt;0.5,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IF(SUMPRODUCT($J$72:CB$72,$J24:CB24)&lt;0.5, "Pending", IF(CB24&lt;0.5, "Complete", "In Progress"))</f>
        <v>#REF!</v>
      </c>
      <c r="CD24" s="24"/>
      <c r="CE24" s="25">
        <f>SUMPRODUCT($H$72:AY$72,$H24:AY24)</f>
        <v>4</v>
      </c>
    </row>
    <row r="25" spans="1:83" ht="29.25" thickBot="1" x14ac:dyDescent="0.25">
      <c r="A25" s="16" t="s">
        <v>105</v>
      </c>
      <c r="B25" s="16" t="s">
        <v>113</v>
      </c>
      <c r="C25" s="187" t="s">
        <v>140</v>
      </c>
      <c r="D25" s="17">
        <v>22</v>
      </c>
      <c r="E25" s="188" t="s">
        <v>141</v>
      </c>
      <c r="F25" s="18" t="s">
        <v>142</v>
      </c>
      <c r="G25" s="19" t="e">
        <f t="shared" ca="1" si="0"/>
        <v>#REF!</v>
      </c>
      <c r="H25" s="20">
        <v>1</v>
      </c>
      <c r="I25" s="21">
        <v>3</v>
      </c>
      <c r="J25" s="22">
        <v>0</v>
      </c>
      <c r="K25" s="22">
        <f t="shared" si="24"/>
        <v>3</v>
      </c>
      <c r="L25" s="23" t="str">
        <f>IF(SUMPRODUCT($J$72:K$72,$J25:K25)&lt;0.5, "Pending", IF(K25&lt;0.5, "Complete", "In Progress"))</f>
        <v>Pending</v>
      </c>
      <c r="M25" s="22">
        <v>0</v>
      </c>
      <c r="N25" s="22">
        <f t="shared" si="25"/>
        <v>3</v>
      </c>
      <c r="O25" s="23" t="str">
        <f>IF(SUMPRODUCT($J$72:N$72,$J25:N25)&lt;0.5, "Pending", IF(N25&lt;0.5, "Complete", "In Progress"))</f>
        <v>Pending</v>
      </c>
      <c r="P25" s="22">
        <v>0</v>
      </c>
      <c r="Q25" s="22">
        <f t="shared" si="26"/>
        <v>3</v>
      </c>
      <c r="R25" s="23" t="str">
        <f>IF(SUMPRODUCT($J$72:Q$72,$J25:Q25)&lt;0.5, "Pending", IF(Q25&lt;0.5, "Complete", "In Progress"))</f>
        <v>Pending</v>
      </c>
      <c r="S25" s="22">
        <v>2</v>
      </c>
      <c r="T25" s="22">
        <f t="shared" si="27"/>
        <v>1</v>
      </c>
      <c r="U25" s="23" t="str">
        <f>IF(SUMPRODUCT($J$72:T$72,$J25:T25)&lt;0.5, "Pending", IF(T25&lt;0.5, "Complete", "In Progress"))</f>
        <v>In Progress</v>
      </c>
      <c r="V25" s="22">
        <v>1</v>
      </c>
      <c r="W25" s="22">
        <f t="shared" si="28"/>
        <v>0</v>
      </c>
      <c r="X25" s="23" t="str">
        <f>IF(SUMPRODUCT($J$72:W$72,$J25:W25)&lt;0.5, "Pending", IF(W25&lt;0.5, "Complete", "In Progress"))</f>
        <v>Complete</v>
      </c>
      <c r="Y25" s="22">
        <v>0</v>
      </c>
      <c r="Z25" s="22">
        <f t="shared" si="29"/>
        <v>0</v>
      </c>
      <c r="AA25" s="23" t="str">
        <f>IF(SUMPRODUCT($J$72:Z$72,$J25:Z25)&lt;0.5, "Pending", IF(Z25&lt;0.5, "Complete", "In Progress"))</f>
        <v>Complete</v>
      </c>
      <c r="AB25" s="22">
        <v>0</v>
      </c>
      <c r="AC25" s="22">
        <f t="shared" si="30"/>
        <v>0</v>
      </c>
      <c r="AD25" s="23" t="str">
        <f>IF(SUMPRODUCT($J$72:AC$72,$J25:AC25)&lt;0.5, "Pending", IF(AC25&lt;0.5, "Complete", "In Progress"))</f>
        <v>Complete</v>
      </c>
      <c r="AE25" s="22">
        <v>0</v>
      </c>
      <c r="AF25" s="22">
        <f t="shared" si="31"/>
        <v>0</v>
      </c>
      <c r="AG25" s="23" t="str">
        <f>IF(SUMPRODUCT($J$72:AF$72,$J25:AF25)&lt;0.5, "Pending", IF(AF25&lt;0.5, "Complete", "In Progress"))</f>
        <v>Complete</v>
      </c>
      <c r="AH25" s="22">
        <v>0</v>
      </c>
      <c r="AI25" s="22">
        <f t="shared" si="32"/>
        <v>0</v>
      </c>
      <c r="AJ25" s="23" t="str">
        <f>IF(SUMPRODUCT($J$72:AI$72,$J25:AI25)&lt;0.5, "Pending", IF(AI25&lt;0.5, "Complete", "In Progress"))</f>
        <v>Complete</v>
      </c>
      <c r="AK25" s="22">
        <v>0</v>
      </c>
      <c r="AL25" s="22">
        <f t="shared" si="33"/>
        <v>0</v>
      </c>
      <c r="AM25" s="23" t="str">
        <f>IF(SUMPRODUCT($J$72:AL$72,$J25:AL25)&lt;0.5, "Pending", IF(AL25&lt;0.5, "Complete", "In Progress"))</f>
        <v>Complete</v>
      </c>
      <c r="AN25" s="22">
        <v>0</v>
      </c>
      <c r="AO25" s="22">
        <f t="shared" si="34"/>
        <v>0</v>
      </c>
      <c r="AP25" s="23" t="str">
        <f>IF(SUMPRODUCT($J$72:AO$72,$J25:AO25)&lt;0.5, "Pending", IF(AO25&lt;0.5, "Complete", "In Progress"))</f>
        <v>Complete</v>
      </c>
      <c r="AQ25" s="22">
        <v>0</v>
      </c>
      <c r="AR25" s="22">
        <f t="shared" si="35"/>
        <v>0</v>
      </c>
      <c r="AS25" s="23" t="str">
        <f>IF(SUMPRODUCT($J$72:AR$72,$J25:AR25)&lt;0.5, "Pending", IF(AR25&lt;0.5, "Complete", "In Progress"))</f>
        <v>Complete</v>
      </c>
      <c r="AT25" s="22">
        <v>0</v>
      </c>
      <c r="AU25" s="22">
        <f t="shared" si="36"/>
        <v>0</v>
      </c>
      <c r="AV25" s="23" t="str">
        <f>IF(SUMPRODUCT($J$72:AU$72,$J25:AU25)&lt;0.5, "Pending", IF(AU25&lt;0.5, "Complete", "In Progress"))</f>
        <v>Complete</v>
      </c>
      <c r="AW25" s="22">
        <v>0</v>
      </c>
      <c r="AX25" s="22">
        <f t="shared" si="37"/>
        <v>0</v>
      </c>
      <c r="AY25" s="23" t="str">
        <f>IF(SUMPRODUCT($J$72:AX$72,$J25:AX25)&lt;0.5,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IF(SUMPRODUCT($J$72:BA$72,$J25:BA25)&lt;0.5,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IF(SUMPRODUCT($J$72:BD$72,$J25:BD25)&lt;0.5,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IF(SUMPRODUCT($J$72:BG$72,$J25:BG25)&lt;0.5,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IF(SUMPRODUCT($J$72:BJ$72,$J25:BJ25)&lt;0.5,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IF(SUMPRODUCT($J$72:BM$72,$J25:BM25)&lt;0.5,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IF(SUMPRODUCT($J$72:BP$72,$J25:BP25)&lt;0.5,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IF(SUMPRODUCT($J$72:BS$72,$J25:BS25)&lt;0.5,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IF(SUMPRODUCT($J$72:BV$72,$J25:BV25)&lt;0.5,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IF(SUMPRODUCT($J$72:BY$72,$J25:BY25)&lt;0.5,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IF(SUMPRODUCT($J$72:CB$72,$J25:CB25)&lt;0.5, "Pending", IF(CB25&lt;0.5, "Complete", "In Progress"))</f>
        <v>#REF!</v>
      </c>
      <c r="CD25" s="24"/>
      <c r="CE25" s="25">
        <f>SUMPRODUCT($H$72:AY$72,$H25:AY25)</f>
        <v>3</v>
      </c>
    </row>
    <row r="26" spans="1:83" ht="15" thickBot="1" x14ac:dyDescent="0.25">
      <c r="A26" s="16" t="s">
        <v>105</v>
      </c>
      <c r="B26" s="16" t="s">
        <v>122</v>
      </c>
      <c r="C26" s="187" t="s">
        <v>140</v>
      </c>
      <c r="D26" s="17">
        <v>23</v>
      </c>
      <c r="E26" s="188" t="s">
        <v>143</v>
      </c>
      <c r="F26" s="18" t="s">
        <v>144</v>
      </c>
      <c r="G26" s="19" t="e">
        <f t="shared" ca="1" si="0"/>
        <v>#REF!</v>
      </c>
      <c r="H26" s="20">
        <v>1</v>
      </c>
      <c r="I26" s="21">
        <v>7</v>
      </c>
      <c r="J26" s="22">
        <v>0</v>
      </c>
      <c r="K26" s="22">
        <f t="shared" si="24"/>
        <v>7</v>
      </c>
      <c r="L26" s="23" t="str">
        <f>IF(SUMPRODUCT($J$72:K$72,$J26:K26)&lt;0.5, "Pending", IF(K26&lt;0.5, "Complete", "In Progress"))</f>
        <v>Pending</v>
      </c>
      <c r="M26" s="22">
        <v>0</v>
      </c>
      <c r="N26" s="22">
        <f t="shared" si="25"/>
        <v>7</v>
      </c>
      <c r="O26" s="23" t="str">
        <f>IF(SUMPRODUCT($J$72:N$72,$J26:N26)&lt;0.5, "Pending", IF(N26&lt;0.5, "Complete", "In Progress"))</f>
        <v>Pending</v>
      </c>
      <c r="P26" s="22">
        <v>2</v>
      </c>
      <c r="Q26" s="22">
        <f t="shared" si="26"/>
        <v>5</v>
      </c>
      <c r="R26" s="23" t="str">
        <f>IF(SUMPRODUCT($J$72:Q$72,$J26:Q26)&lt;0.5, "Pending", IF(Q26&lt;0.5, "Complete", "In Progress"))</f>
        <v>In Progress</v>
      </c>
      <c r="S26" s="22">
        <v>2</v>
      </c>
      <c r="T26" s="22">
        <f t="shared" si="27"/>
        <v>3</v>
      </c>
      <c r="U26" s="23" t="str">
        <f>IF(SUMPRODUCT($J$72:T$72,$J26:T26)&lt;0.5, "Pending", IF(T26&lt;0.5, "Complete", "In Progress"))</f>
        <v>In Progress</v>
      </c>
      <c r="V26" s="22">
        <v>2</v>
      </c>
      <c r="W26" s="22">
        <f t="shared" si="28"/>
        <v>1</v>
      </c>
      <c r="X26" s="23" t="str">
        <f>IF(SUMPRODUCT($J$72:W$72,$J26:W26)&lt;0.5, "Pending", IF(W26&lt;0.5, "Complete", "In Progress"))</f>
        <v>In Progress</v>
      </c>
      <c r="Y26" s="22">
        <v>1</v>
      </c>
      <c r="Z26" s="22">
        <f t="shared" si="29"/>
        <v>0</v>
      </c>
      <c r="AA26" s="23" t="str">
        <f>IF(SUMPRODUCT($J$72:Z$72,$J26:Z26)&lt;0.5, "Pending", IF(Z26&lt;0.5, "Complete", "In Progress"))</f>
        <v>Complete</v>
      </c>
      <c r="AB26" s="22">
        <v>0</v>
      </c>
      <c r="AC26" s="22">
        <f t="shared" si="30"/>
        <v>0</v>
      </c>
      <c r="AD26" s="23" t="str">
        <f>IF(SUMPRODUCT($J$72:AC$72,$J26:AC26)&lt;0.5, "Pending", IF(AC26&lt;0.5, "Complete", "In Progress"))</f>
        <v>Complete</v>
      </c>
      <c r="AE26" s="22">
        <v>0</v>
      </c>
      <c r="AF26" s="22">
        <f t="shared" si="31"/>
        <v>0</v>
      </c>
      <c r="AG26" s="23" t="str">
        <f>IF(SUMPRODUCT($J$72:AF$72,$J26:AF26)&lt;0.5, "Pending", IF(AF26&lt;0.5, "Complete", "In Progress"))</f>
        <v>Complete</v>
      </c>
      <c r="AH26" s="22">
        <v>0</v>
      </c>
      <c r="AI26" s="22">
        <f t="shared" si="32"/>
        <v>0</v>
      </c>
      <c r="AJ26" s="23" t="str">
        <f>IF(SUMPRODUCT($J$72:AI$72,$J26:AI26)&lt;0.5, "Pending", IF(AI26&lt;0.5, "Complete", "In Progress"))</f>
        <v>Complete</v>
      </c>
      <c r="AK26" s="22">
        <v>0</v>
      </c>
      <c r="AL26" s="22">
        <f t="shared" si="33"/>
        <v>0</v>
      </c>
      <c r="AM26" s="23" t="str">
        <f>IF(SUMPRODUCT($J$72:AL$72,$J26:AL26)&lt;0.5, "Pending", IF(AL26&lt;0.5, "Complete", "In Progress"))</f>
        <v>Complete</v>
      </c>
      <c r="AN26" s="22">
        <v>0</v>
      </c>
      <c r="AO26" s="22">
        <f t="shared" si="34"/>
        <v>0</v>
      </c>
      <c r="AP26" s="23" t="str">
        <f>IF(SUMPRODUCT($J$72:AO$72,$J26:AO26)&lt;0.5, "Pending", IF(AO26&lt;0.5, "Complete", "In Progress"))</f>
        <v>Complete</v>
      </c>
      <c r="AQ26" s="22">
        <v>0</v>
      </c>
      <c r="AR26" s="22">
        <f t="shared" si="35"/>
        <v>0</v>
      </c>
      <c r="AS26" s="23" t="str">
        <f>IF(SUMPRODUCT($J$72:AR$72,$J26:AR26)&lt;0.5, "Pending", IF(AR26&lt;0.5, "Complete", "In Progress"))</f>
        <v>Complete</v>
      </c>
      <c r="AT26" s="22">
        <v>0</v>
      </c>
      <c r="AU26" s="22">
        <f t="shared" si="36"/>
        <v>0</v>
      </c>
      <c r="AV26" s="23" t="str">
        <f>IF(SUMPRODUCT($J$72:AU$72,$J26:AU26)&lt;0.5, "Pending", IF(AU26&lt;0.5, "Complete", "In Progress"))</f>
        <v>Complete</v>
      </c>
      <c r="AW26" s="22">
        <v>0</v>
      </c>
      <c r="AX26" s="22">
        <f t="shared" si="37"/>
        <v>0</v>
      </c>
      <c r="AY26" s="23" t="str">
        <f>IF(SUMPRODUCT($J$72:AX$72,$J26:AX26)&lt;0.5,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IF(SUMPRODUCT($J$72:BA$72,$J26:BA26)&lt;0.5,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IF(SUMPRODUCT($J$72:BD$72,$J26:BD26)&lt;0.5,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IF(SUMPRODUCT($J$72:BG$72,$J26:BG26)&lt;0.5,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IF(SUMPRODUCT($J$72:BJ$72,$J26:BJ26)&lt;0.5,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IF(SUMPRODUCT($J$72:BM$72,$J26:BM26)&lt;0.5,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IF(SUMPRODUCT($J$72:BP$72,$J26:BP26)&lt;0.5,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IF(SUMPRODUCT($J$72:BS$72,$J26:BS26)&lt;0.5,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IF(SUMPRODUCT($J$72:BV$72,$J26:BV26)&lt;0.5,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IF(SUMPRODUCT($J$72:BY$72,$J26:BY26)&lt;0.5,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IF(SUMPRODUCT($J$72:CB$72,$J26:CB26)&lt;0.5, "Pending", IF(CB26&lt;0.5, "Complete", "In Progress"))</f>
        <v>#REF!</v>
      </c>
      <c r="CD26" s="24"/>
      <c r="CE26" s="25">
        <f>SUMPRODUCT($H$72:AY$72,$H26:AY26)</f>
        <v>7</v>
      </c>
    </row>
    <row r="27" spans="1:83" ht="15" thickBot="1" x14ac:dyDescent="0.25">
      <c r="A27" s="16" t="s">
        <v>105</v>
      </c>
      <c r="B27" s="16" t="s">
        <v>122</v>
      </c>
      <c r="C27" s="187" t="s">
        <v>135</v>
      </c>
      <c r="D27" s="17">
        <v>24</v>
      </c>
      <c r="E27" s="188" t="s">
        <v>157</v>
      </c>
      <c r="F27" s="18" t="s">
        <v>150</v>
      </c>
      <c r="G27" s="19" t="e">
        <f t="shared" ca="1" si="0"/>
        <v>#REF!</v>
      </c>
      <c r="H27" s="20">
        <v>1</v>
      </c>
      <c r="I27" s="21">
        <v>5</v>
      </c>
      <c r="J27" s="22">
        <v>0</v>
      </c>
      <c r="K27" s="22">
        <f t="shared" si="24"/>
        <v>5</v>
      </c>
      <c r="L27" s="23" t="str">
        <f>IF(SUMPRODUCT($J$72:K$72,$J27:K27)&lt;0.5, "Pending", IF(K27&lt;0.5, "Complete", "In Progress"))</f>
        <v>Pending</v>
      </c>
      <c r="M27" s="22">
        <v>0</v>
      </c>
      <c r="N27" s="22">
        <f t="shared" si="25"/>
        <v>5</v>
      </c>
      <c r="O27" s="23" t="str">
        <f>IF(SUMPRODUCT($J$72:N$72,$J27:N27)&lt;0.5, "Pending", IF(N27&lt;0.5, "Complete", "In Progress"))</f>
        <v>Pending</v>
      </c>
      <c r="P27" s="22">
        <v>0</v>
      </c>
      <c r="Q27" s="22">
        <f t="shared" si="26"/>
        <v>5</v>
      </c>
      <c r="R27" s="23" t="str">
        <f>IF(SUMPRODUCT($J$72:Q$72,$J27:Q27)&lt;0.5, "Pending", IF(Q27&lt;0.5, "Complete", "In Progress"))</f>
        <v>Pending</v>
      </c>
      <c r="S27" s="22">
        <v>0</v>
      </c>
      <c r="T27" s="22">
        <f t="shared" si="27"/>
        <v>5</v>
      </c>
      <c r="U27" s="23" t="str">
        <f>IF(SUMPRODUCT($J$72:T$72,$J27:T27)&lt;0.5, "Pending", IF(T27&lt;0.5, "Complete", "In Progress"))</f>
        <v>Pending</v>
      </c>
      <c r="V27" s="22">
        <v>0</v>
      </c>
      <c r="W27" s="22">
        <f t="shared" si="28"/>
        <v>5</v>
      </c>
      <c r="X27" s="23" t="str">
        <f>IF(SUMPRODUCT($J$72:W$72,$J27:W27)&lt;0.5, "Pending", IF(W27&lt;0.5, "Complete", "In Progress"))</f>
        <v>Pending</v>
      </c>
      <c r="Y27" s="22">
        <v>1</v>
      </c>
      <c r="Z27" s="22">
        <f t="shared" si="29"/>
        <v>4</v>
      </c>
      <c r="AA27" s="23" t="str">
        <f>IF(SUMPRODUCT($J$72:Z$72,$J27:Z27)&lt;0.5, "Pending", IF(Z27&lt;0.5, "Complete", "In Progress"))</f>
        <v>In Progress</v>
      </c>
      <c r="AB27" s="22">
        <v>2</v>
      </c>
      <c r="AC27" s="22">
        <f t="shared" si="30"/>
        <v>2</v>
      </c>
      <c r="AD27" s="23" t="str">
        <f>IF(SUMPRODUCT($J$72:AC$72,$J27:AC27)&lt;0.5, "Pending", IF(AC27&lt;0.5, "Complete", "In Progress"))</f>
        <v>In Progress</v>
      </c>
      <c r="AE27" s="22">
        <v>2</v>
      </c>
      <c r="AF27" s="22">
        <f t="shared" si="31"/>
        <v>0</v>
      </c>
      <c r="AG27" s="23" t="str">
        <f>IF(SUMPRODUCT($J$72:AF$72,$J27:AF27)&lt;0.5, "Pending", IF(AF27&lt;0.5, "Complete", "In Progress"))</f>
        <v>Complete</v>
      </c>
      <c r="AH27" s="22">
        <v>0</v>
      </c>
      <c r="AI27" s="22">
        <f t="shared" si="32"/>
        <v>0</v>
      </c>
      <c r="AJ27" s="23" t="str">
        <f>IF(SUMPRODUCT($J$72:AI$72,$J27:AI27)&lt;0.5, "Pending", IF(AI27&lt;0.5, "Complete", "In Progress"))</f>
        <v>Complete</v>
      </c>
      <c r="AK27" s="22">
        <v>0</v>
      </c>
      <c r="AL27" s="22">
        <f t="shared" si="33"/>
        <v>0</v>
      </c>
      <c r="AM27" s="23" t="str">
        <f>IF(SUMPRODUCT($J$72:AL$72,$J27:AL27)&lt;0.5, "Pending", IF(AL27&lt;0.5, "Complete", "In Progress"))</f>
        <v>Complete</v>
      </c>
      <c r="AN27" s="22">
        <v>0</v>
      </c>
      <c r="AO27" s="22">
        <f t="shared" si="34"/>
        <v>0</v>
      </c>
      <c r="AP27" s="23" t="str">
        <f>IF(SUMPRODUCT($J$72:AO$72,$J27:AO27)&lt;0.5, "Pending", IF(AO27&lt;0.5, "Complete", "In Progress"))</f>
        <v>Complete</v>
      </c>
      <c r="AQ27" s="22">
        <v>0</v>
      </c>
      <c r="AR27" s="22">
        <f t="shared" si="35"/>
        <v>0</v>
      </c>
      <c r="AS27" s="23" t="str">
        <f>IF(SUMPRODUCT($J$72:AR$72,$J27:AR27)&lt;0.5, "Pending", IF(AR27&lt;0.5, "Complete", "In Progress"))</f>
        <v>Complete</v>
      </c>
      <c r="AT27" s="22">
        <v>0</v>
      </c>
      <c r="AU27" s="22">
        <f t="shared" si="36"/>
        <v>0</v>
      </c>
      <c r="AV27" s="23" t="str">
        <f>IF(SUMPRODUCT($J$72:AU$72,$J27:AU27)&lt;0.5, "Pending", IF(AU27&lt;0.5, "Complete", "In Progress"))</f>
        <v>Complete</v>
      </c>
      <c r="AW27" s="22">
        <v>0</v>
      </c>
      <c r="AX27" s="22">
        <f t="shared" si="37"/>
        <v>0</v>
      </c>
      <c r="AY27" s="23" t="str">
        <f>IF(SUMPRODUCT($J$72:AX$72,$J27:AX27)&lt;0.5, "Pending", IF(AX27&lt;0.5, "Complete", "In Progress"))</f>
        <v>Complete</v>
      </c>
      <c r="AZ27" s="22">
        <v>0</v>
      </c>
      <c r="BA27" s="22" t="e">
        <f>MAX(#REF!-AZ27,0)</f>
        <v>#REF!</v>
      </c>
      <c r="BB27" s="23" t="e">
        <f>IF(SUMPRODUCT($J$72:BA$72,$J27:BA27)&lt;0.5,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IF(SUMPRODUCT($J$72:BD$72,$J27:BD27)&lt;0.5,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IF(SUMPRODUCT($J$72:BG$72,$J27:BG27)&lt;0.5,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IF(SUMPRODUCT($J$72:BJ$72,$J27:BJ27)&lt;0.5,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IF(SUMPRODUCT($J$72:BM$72,$J27:BM27)&lt;0.5,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IF(SUMPRODUCT($J$72:BP$72,$J27:BP27)&lt;0.5,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IF(SUMPRODUCT($J$72:BS$72,$J27:BS27)&lt;0.5,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IF(SUMPRODUCT($J$72:BV$72,$J27:BV27)&lt;0.5,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IF(SUMPRODUCT($J$72:BY$72,$J27:BY27)&lt;0.5,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IF(SUMPRODUCT($J$72:CB$72,$J27:CB27)&lt;0.5, "Pending", IF(CB27&lt;0.5, "Complete", "In Progress"))</f>
        <v>#REF!</v>
      </c>
      <c r="CD27" s="24"/>
      <c r="CE27" s="25">
        <f>SUMPRODUCT($H$72:AY$72,$H27:AY27)</f>
        <v>5</v>
      </c>
    </row>
    <row r="28" spans="1:83" ht="29.25" thickBot="1" x14ac:dyDescent="0.25">
      <c r="A28" s="16" t="s">
        <v>105</v>
      </c>
      <c r="B28" s="16" t="s">
        <v>122</v>
      </c>
      <c r="C28" s="187" t="s">
        <v>135</v>
      </c>
      <c r="D28" s="17">
        <v>25</v>
      </c>
      <c r="E28" s="188" t="s">
        <v>158</v>
      </c>
      <c r="F28" s="18" t="s">
        <v>148</v>
      </c>
      <c r="G28" s="19" t="e">
        <f t="shared" ca="1" si="0"/>
        <v>#REF!</v>
      </c>
      <c r="H28" s="20">
        <v>1</v>
      </c>
      <c r="I28" s="21">
        <v>8</v>
      </c>
      <c r="J28" s="22">
        <v>0</v>
      </c>
      <c r="K28" s="22">
        <f t="shared" si="24"/>
        <v>8</v>
      </c>
      <c r="L28" s="23" t="str">
        <f>IF(SUMPRODUCT($J$72:K$72,$J28:K28)&lt;0.5, "Pending", IF(K28&lt;0.5, "Complete", "In Progress"))</f>
        <v>Pending</v>
      </c>
      <c r="M28" s="22">
        <v>0</v>
      </c>
      <c r="N28" s="22">
        <f t="shared" si="25"/>
        <v>8</v>
      </c>
      <c r="O28" s="23" t="str">
        <f>IF(SUMPRODUCT($J$72:N$72,$J28:N28)&lt;0.5, "Pending", IF(N28&lt;0.5, "Complete", "In Progress"))</f>
        <v>Pending</v>
      </c>
      <c r="P28" s="22">
        <v>0</v>
      </c>
      <c r="Q28" s="22">
        <f t="shared" si="26"/>
        <v>8</v>
      </c>
      <c r="R28" s="23" t="str">
        <f>IF(SUMPRODUCT($J$72:Q$72,$J28:Q28)&lt;0.5, "Pending", IF(Q28&lt;0.5, "Complete", "In Progress"))</f>
        <v>Pending</v>
      </c>
      <c r="S28" s="22">
        <v>0</v>
      </c>
      <c r="T28" s="22">
        <f t="shared" si="27"/>
        <v>8</v>
      </c>
      <c r="U28" s="23" t="str">
        <f>IF(SUMPRODUCT($J$72:T$72,$J28:T28)&lt;0.5, "Pending", IF(T28&lt;0.5, "Complete", "In Progress"))</f>
        <v>Pending</v>
      </c>
      <c r="V28" s="22">
        <v>0</v>
      </c>
      <c r="W28" s="22">
        <f t="shared" si="28"/>
        <v>8</v>
      </c>
      <c r="X28" s="23" t="str">
        <f>IF(SUMPRODUCT($J$72:W$72,$J28:W28)&lt;0.5, "Pending", IF(W28&lt;0.5, "Complete", "In Progress"))</f>
        <v>Pending</v>
      </c>
      <c r="Y28" s="22">
        <v>0</v>
      </c>
      <c r="Z28" s="22">
        <f t="shared" si="29"/>
        <v>8</v>
      </c>
      <c r="AA28" s="23" t="str">
        <f>IF(SUMPRODUCT($J$72:Z$72,$J28:Z28)&lt;0.5, "Pending", IF(Z28&lt;0.5, "Complete", "In Progress"))</f>
        <v>Pending</v>
      </c>
      <c r="AB28" s="22">
        <v>2</v>
      </c>
      <c r="AC28" s="22">
        <f t="shared" si="30"/>
        <v>6</v>
      </c>
      <c r="AD28" s="23" t="str">
        <f>IF(SUMPRODUCT($J$72:AC$72,$J28:AC28)&lt;0.5, "Pending", IF(AC28&lt;0.5, "Complete", "In Progress"))</f>
        <v>In Progress</v>
      </c>
      <c r="AE28" s="22">
        <v>2</v>
      </c>
      <c r="AF28" s="22">
        <f t="shared" si="31"/>
        <v>4</v>
      </c>
      <c r="AG28" s="23" t="str">
        <f>IF(SUMPRODUCT($J$72:AF$72,$J28:AF28)&lt;0.5, "Pending", IF(AF28&lt;0.5, "Complete", "In Progress"))</f>
        <v>In Progress</v>
      </c>
      <c r="AH28" s="22">
        <v>2</v>
      </c>
      <c r="AI28" s="22">
        <f t="shared" si="32"/>
        <v>2</v>
      </c>
      <c r="AJ28" s="23" t="str">
        <f>IF(SUMPRODUCT($J$72:AI$72,$J28:AI28)&lt;0.5, "Pending", IF(AI28&lt;0.5, "Complete", "In Progress"))</f>
        <v>In Progress</v>
      </c>
      <c r="AK28" s="22">
        <v>2</v>
      </c>
      <c r="AL28" s="22">
        <f t="shared" si="33"/>
        <v>0</v>
      </c>
      <c r="AM28" s="23" t="str">
        <f>IF(SUMPRODUCT($J$72:AL$72,$J28:AL28)&lt;0.5, "Pending", IF(AL28&lt;0.5, "Complete", "In Progress"))</f>
        <v>Complete</v>
      </c>
      <c r="AN28" s="22">
        <v>0</v>
      </c>
      <c r="AO28" s="22">
        <f t="shared" si="34"/>
        <v>0</v>
      </c>
      <c r="AP28" s="23" t="str">
        <f>IF(SUMPRODUCT($J$72:AO$72,$J28:AO28)&lt;0.5, "Pending", IF(AO28&lt;0.5, "Complete", "In Progress"))</f>
        <v>Complete</v>
      </c>
      <c r="AQ28" s="22">
        <v>0</v>
      </c>
      <c r="AR28" s="22">
        <f t="shared" si="35"/>
        <v>0</v>
      </c>
      <c r="AS28" s="23" t="str">
        <f>IF(SUMPRODUCT($J$72:AR$72,$J28:AR28)&lt;0.5, "Pending", IF(AR28&lt;0.5, "Complete", "In Progress"))</f>
        <v>Complete</v>
      </c>
      <c r="AT28" s="22">
        <v>0</v>
      </c>
      <c r="AU28" s="22">
        <f t="shared" si="36"/>
        <v>0</v>
      </c>
      <c r="AV28" s="23" t="str">
        <f>IF(SUMPRODUCT($J$72:AU$72,$J28:AU28)&lt;0.5, "Pending", IF(AU28&lt;0.5, "Complete", "In Progress"))</f>
        <v>Complete</v>
      </c>
      <c r="AW28" s="22">
        <v>0</v>
      </c>
      <c r="AX28" s="22">
        <f t="shared" si="37"/>
        <v>0</v>
      </c>
      <c r="AY28" s="23" t="str">
        <f>IF(SUMPRODUCT($J$72:AX$72,$J28:AX28)&lt;0.5,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IF(SUMPRODUCT($J$72:BA$72,$J28:BA28)&lt;0.5,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IF(SUMPRODUCT($J$72:BD$72,$J28:BD28)&lt;0.5,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IF(SUMPRODUCT($J$72:BG$72,$J28:BG28)&lt;0.5,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IF(SUMPRODUCT($J$72:BJ$72,$J28:BJ28)&lt;0.5,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IF(SUMPRODUCT($J$72:BM$72,$J28:BM28)&lt;0.5,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IF(SUMPRODUCT($J$72:BP$72,$J28:BP28)&lt;0.5,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IF(SUMPRODUCT($J$72:BS$72,$J28:BS28)&lt;0.5,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IF(SUMPRODUCT($J$72:BV$72,$J28:BV28)&lt;0.5,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IF(SUMPRODUCT($J$72:BY$72,$J28:BY28)&lt;0.5,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IF(SUMPRODUCT($J$72:CB$72,$J28:CB28)&lt;0.5, "Pending", IF(CB28&lt;0.5, "Complete", "In Progress"))</f>
        <v>#REF!</v>
      </c>
      <c r="CD28" s="24"/>
      <c r="CE28" s="25">
        <f>SUMPRODUCT($H$72:AY$72,$H28:AY28)</f>
        <v>8</v>
      </c>
    </row>
    <row r="29" spans="1:83" x14ac:dyDescent="0.2">
      <c r="A29" s="16" t="s">
        <v>105</v>
      </c>
      <c r="B29" s="16" t="s">
        <v>113</v>
      </c>
      <c r="C29" s="16"/>
      <c r="D29" s="17">
        <v>26</v>
      </c>
      <c r="E29" s="178" t="s">
        <v>168</v>
      </c>
      <c r="F29" s="18" t="s">
        <v>142</v>
      </c>
      <c r="G29" s="19" t="e">
        <f t="shared" ca="1" si="0"/>
        <v>#REF!</v>
      </c>
      <c r="H29" s="20">
        <v>1</v>
      </c>
      <c r="I29" s="21">
        <v>5</v>
      </c>
      <c r="J29" s="22">
        <v>0</v>
      </c>
      <c r="K29" s="22">
        <f t="shared" si="24"/>
        <v>5</v>
      </c>
      <c r="L29" s="23" t="str">
        <f>IF(SUMPRODUCT($J$72:K$72,$J29:K29)&lt;0.5, "Pending", IF(K29&lt;0.5, "Complete", "In Progress"))</f>
        <v>Pending</v>
      </c>
      <c r="M29" s="22">
        <v>0</v>
      </c>
      <c r="N29" s="22">
        <f t="shared" si="25"/>
        <v>5</v>
      </c>
      <c r="O29" s="23" t="str">
        <f>IF(SUMPRODUCT($J$72:N$72,$J29:N29)&lt;0.5, "Pending", IF(N29&lt;0.5, "Complete", "In Progress"))</f>
        <v>Pending</v>
      </c>
      <c r="P29" s="22">
        <v>0</v>
      </c>
      <c r="Q29" s="22">
        <f t="shared" si="26"/>
        <v>5</v>
      </c>
      <c r="R29" s="23" t="str">
        <f>IF(SUMPRODUCT($J$72:Q$72,$J29:Q29)&lt;0.5, "Pending", IF(Q29&lt;0.5, "Complete", "In Progress"))</f>
        <v>Pending</v>
      </c>
      <c r="S29" s="22">
        <v>0</v>
      </c>
      <c r="T29" s="22">
        <f t="shared" si="27"/>
        <v>5</v>
      </c>
      <c r="U29" s="23" t="str">
        <f>IF(SUMPRODUCT($J$72:T$72,$J29:T29)&lt;0.5, "Pending", IF(T29&lt;0.5, "Complete", "In Progress"))</f>
        <v>Pending</v>
      </c>
      <c r="V29" s="22">
        <v>1</v>
      </c>
      <c r="W29" s="22">
        <f t="shared" si="28"/>
        <v>4</v>
      </c>
      <c r="X29" s="23" t="str">
        <f>IF(SUMPRODUCT($J$72:W$72,$J29:W29)&lt;0.5, "Pending", IF(W29&lt;0.5, "Complete", "In Progress"))</f>
        <v>In Progress</v>
      </c>
      <c r="Y29" s="22">
        <v>2</v>
      </c>
      <c r="Z29" s="22">
        <f t="shared" si="29"/>
        <v>2</v>
      </c>
      <c r="AA29" s="23" t="str">
        <f>IF(SUMPRODUCT($J$72:Z$72,$J29:Z29)&lt;0.5, "Pending", IF(Z29&lt;0.5, "Complete", "In Progress"))</f>
        <v>In Progress</v>
      </c>
      <c r="AB29" s="22">
        <v>2</v>
      </c>
      <c r="AC29" s="22">
        <f t="shared" si="30"/>
        <v>0</v>
      </c>
      <c r="AD29" s="23" t="str">
        <f>IF(SUMPRODUCT($J$72:AC$72,$J29:AC29)&lt;0.5, "Pending", IF(AC29&lt;0.5, "Complete", "In Progress"))</f>
        <v>Complete</v>
      </c>
      <c r="AE29" s="22">
        <v>0</v>
      </c>
      <c r="AF29" s="22">
        <f t="shared" si="31"/>
        <v>0</v>
      </c>
      <c r="AG29" s="23" t="str">
        <f>IF(SUMPRODUCT($J$72:AF$72,$J29:AF29)&lt;0.5, "Pending", IF(AF29&lt;0.5, "Complete", "In Progress"))</f>
        <v>Complete</v>
      </c>
      <c r="AH29" s="22">
        <v>0</v>
      </c>
      <c r="AI29" s="22">
        <v>0</v>
      </c>
      <c r="AJ29" s="23" t="str">
        <f>IF(SUMPRODUCT($J$72:AI$72,$J29:AI29)&lt;0.5, "Pending", IF(AI29&lt;0.5, "Complete", "In Progress"))</f>
        <v>Complete</v>
      </c>
      <c r="AK29" s="22">
        <v>0</v>
      </c>
      <c r="AL29" s="22">
        <v>0</v>
      </c>
      <c r="AM29" s="23" t="str">
        <f>IF(SUMPRODUCT($J$72:AL$72,$J29:AL29)&lt;0.5, "Pending", IF(AL29&lt;0.5, "Complete", "In Progress"))</f>
        <v>Complete</v>
      </c>
      <c r="AN29" s="22">
        <v>0</v>
      </c>
      <c r="AO29" s="22">
        <f t="shared" si="34"/>
        <v>0</v>
      </c>
      <c r="AP29" s="23" t="str">
        <f>IF(SUMPRODUCT($J$72:AO$72,$J29:AO29)&lt;0.5, "Pending", IF(AO29&lt;0.5, "Complete", "In Progress"))</f>
        <v>Complete</v>
      </c>
      <c r="AQ29" s="22">
        <v>0</v>
      </c>
      <c r="AR29" s="22">
        <f t="shared" si="35"/>
        <v>0</v>
      </c>
      <c r="AS29" s="23" t="str">
        <f>IF(SUMPRODUCT($J$72:AR$72,$J29:AR29)&lt;0.5, "Pending", IF(AR29&lt;0.5, "Complete", "In Progress"))</f>
        <v>Complete</v>
      </c>
      <c r="AT29" s="22">
        <v>0</v>
      </c>
      <c r="AU29" s="22">
        <f t="shared" si="36"/>
        <v>0</v>
      </c>
      <c r="AV29" s="23" t="str">
        <f>IF(SUMPRODUCT($J$72:AU$72,$J29:AU29)&lt;0.5, "Pending", IF(AU29&lt;0.5, "Complete", "In Progress"))</f>
        <v>Complete</v>
      </c>
      <c r="AW29" s="22">
        <v>0</v>
      </c>
      <c r="AX29" s="22">
        <f t="shared" si="37"/>
        <v>0</v>
      </c>
      <c r="AY29" s="23" t="str">
        <f>IF(SUMPRODUCT($J$72:AX$72,$J29:AX29)&lt;0.5, "Pending", IF(AX29&lt;0.5, "Complete", "In Progress"))</f>
        <v>Complete</v>
      </c>
      <c r="AZ29" s="22">
        <v>0</v>
      </c>
      <c r="BA29" s="22" t="e">
        <f>MAX(#REF!-AZ29,0)</f>
        <v>#REF!</v>
      </c>
      <c r="BB29" s="23" t="e">
        <f>IF(SUMPRODUCT($J$72:BA$72,$J29:BA29)&lt;0.5,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IF(SUMPRODUCT($J$72:BD$72,$J29:BD29)&lt;0.5,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IF(SUMPRODUCT($J$72:BG$72,$J29:BG29)&lt;0.5,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IF(SUMPRODUCT($J$72:BJ$72,$J29:BJ29)&lt;0.5,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IF(SUMPRODUCT($J$72:BM$72,$J29:BM29)&lt;0.5,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IF(SUMPRODUCT($J$72:BP$72,$J29:BP29)&lt;0.5,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IF(SUMPRODUCT($J$72:BS$72,$J29:BS29)&lt;0.5,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IF(SUMPRODUCT($J$72:BV$72,$J29:BV29)&lt;0.5,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IF(SUMPRODUCT($J$72:BY$72,$J29:BY29)&lt;0.5,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IF(SUMPRODUCT($J$72:CB$72,$J29:CB29)&lt;0.5, "Pending", IF(CB29&lt;0.5, "Complete", "In Progress"))</f>
        <v>#REF!</v>
      </c>
      <c r="CD29" s="24"/>
      <c r="CE29" s="25">
        <f>SUMPRODUCT($H$72:AY$72,$H29:AY29)</f>
        <v>5</v>
      </c>
    </row>
    <row r="30" spans="1:83" x14ac:dyDescent="0.2">
      <c r="A30" s="16" t="s">
        <v>107</v>
      </c>
      <c r="B30" s="16" t="s">
        <v>124</v>
      </c>
      <c r="C30" s="16"/>
      <c r="D30" s="17">
        <v>27</v>
      </c>
      <c r="E30" s="178" t="s">
        <v>171</v>
      </c>
      <c r="F30" s="18" t="s">
        <v>152</v>
      </c>
      <c r="G30" s="19" t="e">
        <f t="shared" ca="1" si="0"/>
        <v>#REF!</v>
      </c>
      <c r="H30" s="20">
        <v>1</v>
      </c>
      <c r="I30" s="21">
        <v>3</v>
      </c>
      <c r="J30" s="22">
        <v>0</v>
      </c>
      <c r="K30" s="22">
        <f t="shared" si="24"/>
        <v>3</v>
      </c>
      <c r="L30" s="23" t="str">
        <f>IF(SUMPRODUCT($J$72:K$72,$J30:K30)&lt;0.5, "Pending", IF(K30&lt;0.5, "Complete", "In Progress"))</f>
        <v>Pending</v>
      </c>
      <c r="M30" s="22">
        <v>0</v>
      </c>
      <c r="N30" s="22">
        <f t="shared" si="25"/>
        <v>3</v>
      </c>
      <c r="O30" s="23" t="str">
        <f>IF(SUMPRODUCT($J$72:N$72,$J30:N30)&lt;0.5, "Pending", IF(N30&lt;0.5, "Complete", "In Progress"))</f>
        <v>Pending</v>
      </c>
      <c r="P30" s="22">
        <v>0</v>
      </c>
      <c r="Q30" s="22">
        <f t="shared" si="26"/>
        <v>3</v>
      </c>
      <c r="R30" s="23" t="str">
        <f>IF(SUMPRODUCT($J$72:Q$72,$J30:Q30)&lt;0.5, "Pending", IF(Q30&lt;0.5, "Complete", "In Progress"))</f>
        <v>Pending</v>
      </c>
      <c r="S30" s="22">
        <v>0</v>
      </c>
      <c r="T30" s="22">
        <f t="shared" si="27"/>
        <v>3</v>
      </c>
      <c r="U30" s="23" t="str">
        <f>IF(SUMPRODUCT($J$72:T$72,$J30:T30)&lt;0.5, "Pending", IF(T30&lt;0.5, "Complete", "In Progress"))</f>
        <v>Pending</v>
      </c>
      <c r="V30" s="22">
        <v>0</v>
      </c>
      <c r="W30" s="22">
        <f t="shared" si="28"/>
        <v>3</v>
      </c>
      <c r="X30" s="23" t="str">
        <f>IF(SUMPRODUCT($J$72:W$72,$J30:W30)&lt;0.5, "Pending", IF(W30&lt;0.5, "Complete", "In Progress"))</f>
        <v>Pending</v>
      </c>
      <c r="Y30" s="22">
        <v>0</v>
      </c>
      <c r="Z30" s="22">
        <f t="shared" si="29"/>
        <v>3</v>
      </c>
      <c r="AA30" s="23" t="str">
        <f>IF(SUMPRODUCT($J$72:Z$72,$J30:Z30)&lt;0.5, "Pending", IF(Z30&lt;0.5, "Complete", "In Progress"))</f>
        <v>Pending</v>
      </c>
      <c r="AB30" s="22">
        <v>0</v>
      </c>
      <c r="AC30" s="22">
        <f t="shared" si="30"/>
        <v>3</v>
      </c>
      <c r="AD30" s="23" t="str">
        <f>IF(SUMPRODUCT($J$72:AC$72,$J30:AC30)&lt;0.5, "Pending", IF(AC30&lt;0.5, "Complete", "In Progress"))</f>
        <v>Pending</v>
      </c>
      <c r="AE30" s="22">
        <v>0</v>
      </c>
      <c r="AF30" s="22">
        <f t="shared" si="31"/>
        <v>3</v>
      </c>
      <c r="AG30" s="23" t="str">
        <f>IF(SUMPRODUCT($J$72:AF$72,$J30:AF30)&lt;0.5, "Pending", IF(AF30&lt;0.5, "Complete", "In Progress"))</f>
        <v>Pending</v>
      </c>
      <c r="AH30" s="22">
        <v>1</v>
      </c>
      <c r="AI30" s="22">
        <f t="shared" si="32"/>
        <v>2</v>
      </c>
      <c r="AJ30" s="23" t="str">
        <f>IF(SUMPRODUCT($J$72:AI$72,$J30:AI30)&lt;0.5, "Pending", IF(AI30&lt;0.5, "Complete", "In Progress"))</f>
        <v>In Progress</v>
      </c>
      <c r="AK30" s="22">
        <v>2</v>
      </c>
      <c r="AL30" s="22">
        <f t="shared" si="33"/>
        <v>0</v>
      </c>
      <c r="AM30" s="23" t="str">
        <f>IF(SUMPRODUCT($J$72:AL$72,$J30:AL30)&lt;0.5, "Pending", IF(AL30&lt;0.5, "Complete", "In Progress"))</f>
        <v>Complete</v>
      </c>
      <c r="AN30" s="22">
        <v>0</v>
      </c>
      <c r="AO30" s="22">
        <f t="shared" si="34"/>
        <v>0</v>
      </c>
      <c r="AP30" s="23" t="str">
        <f>IF(SUMPRODUCT($J$72:AO$72,$J30:AO30)&lt;0.5, "Pending", IF(AO30&lt;0.5, "Complete", "In Progress"))</f>
        <v>Complete</v>
      </c>
      <c r="AQ30" s="22">
        <v>0</v>
      </c>
      <c r="AR30" s="22">
        <f t="shared" si="35"/>
        <v>0</v>
      </c>
      <c r="AS30" s="23" t="str">
        <f>IF(SUMPRODUCT($J$72:AR$72,$J30:AR30)&lt;0.5, "Pending", IF(AR30&lt;0.5, "Complete", "In Progress"))</f>
        <v>Complete</v>
      </c>
      <c r="AT30" s="22">
        <v>0</v>
      </c>
      <c r="AU30" s="22">
        <f t="shared" si="36"/>
        <v>0</v>
      </c>
      <c r="AV30" s="23" t="str">
        <f>IF(SUMPRODUCT($J$72:AU$72,$J30:AU30)&lt;0.5, "Pending", IF(AU30&lt;0.5, "Complete", "In Progress"))</f>
        <v>Complete</v>
      </c>
      <c r="AW30" s="22">
        <v>0</v>
      </c>
      <c r="AX30" s="22">
        <f t="shared" si="37"/>
        <v>0</v>
      </c>
      <c r="AY30" s="23" t="str">
        <f>IF(SUMPRODUCT($J$72:AX$72,$J30:AX30)&lt;0.5, "Pending", IF(AX30&lt;0.5, "Complete", "In Progress"))</f>
        <v>Complete</v>
      </c>
      <c r="AZ30" s="22">
        <v>0</v>
      </c>
      <c r="BA30" s="22" t="e">
        <f>MAX(#REF!-AZ30,0)</f>
        <v>#REF!</v>
      </c>
      <c r="BB30" s="23" t="e">
        <f>IF(SUMPRODUCT($J$72:BA$72,$J30:BA30)&lt;0.5,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IF(SUMPRODUCT($J$72:BD$72,$J30:BD30)&lt;0.5,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IF(SUMPRODUCT($J$72:BG$72,$J30:BG30)&lt;0.5,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IF(SUMPRODUCT($J$72:BJ$72,$J30:BJ30)&lt;0.5,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IF(SUMPRODUCT($J$72:BM$72,$J30:BM30)&lt;0.5,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IF(SUMPRODUCT($J$72:BP$72,$J30:BP30)&lt;0.5,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IF(SUMPRODUCT($J$72:BS$72,$J30:BS30)&lt;0.5,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IF(SUMPRODUCT($J$72:BV$72,$J30:BV30)&lt;0.5,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IF(SUMPRODUCT($J$72:BY$72,$J30:BY30)&lt;0.5,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IF(SUMPRODUCT($J$72:CB$72,$J30:CB30)&lt;0.5, "Pending", IF(CB30&lt;0.5, "Complete", "In Progress"))</f>
        <v>#REF!</v>
      </c>
      <c r="CD30" s="24"/>
      <c r="CE30" s="25">
        <f>SUMPRODUCT($H$72:AY$72,$H30:AY30)</f>
        <v>3</v>
      </c>
    </row>
    <row r="31" spans="1:83" x14ac:dyDescent="0.2">
      <c r="A31" s="16" t="s">
        <v>107</v>
      </c>
      <c r="B31" s="16" t="s">
        <v>124</v>
      </c>
      <c r="C31" s="16"/>
      <c r="D31" s="17">
        <v>28</v>
      </c>
      <c r="E31" s="178" t="s">
        <v>171</v>
      </c>
      <c r="F31" s="18" t="s">
        <v>156</v>
      </c>
      <c r="G31" s="19" t="e">
        <f t="shared" ca="1" si="0"/>
        <v>#REF!</v>
      </c>
      <c r="H31" s="20">
        <v>1</v>
      </c>
      <c r="I31" s="21">
        <v>4</v>
      </c>
      <c r="J31" s="22">
        <v>0</v>
      </c>
      <c r="K31" s="22">
        <f t="shared" si="24"/>
        <v>4</v>
      </c>
      <c r="L31" s="23" t="str">
        <f>IF(SUMPRODUCT($J$72:K$72,$J31:K31)&lt;0.5, "Pending", IF(K31&lt;0.5, "Complete", "In Progress"))</f>
        <v>Pending</v>
      </c>
      <c r="M31" s="22">
        <v>0</v>
      </c>
      <c r="N31" s="22">
        <f t="shared" si="25"/>
        <v>4</v>
      </c>
      <c r="O31" s="23" t="str">
        <f>IF(SUMPRODUCT($J$72:N$72,$J31:N31)&lt;0.5, "Pending", IF(N31&lt;0.5, "Complete", "In Progress"))</f>
        <v>Pending</v>
      </c>
      <c r="P31" s="22">
        <v>0</v>
      </c>
      <c r="Q31" s="22">
        <f t="shared" si="26"/>
        <v>4</v>
      </c>
      <c r="R31" s="23" t="str">
        <f>IF(SUMPRODUCT($J$72:Q$72,$J31:Q31)&lt;0.5, "Pending", IF(Q31&lt;0.5, "Complete", "In Progress"))</f>
        <v>Pending</v>
      </c>
      <c r="S31" s="22">
        <v>0</v>
      </c>
      <c r="T31" s="22">
        <f t="shared" si="27"/>
        <v>4</v>
      </c>
      <c r="U31" s="23" t="str">
        <f>IF(SUMPRODUCT($J$72:T$72,$J31:T31)&lt;0.5, "Pending", IF(T31&lt;0.5, "Complete", "In Progress"))</f>
        <v>Pending</v>
      </c>
      <c r="V31" s="22">
        <v>0</v>
      </c>
      <c r="W31" s="22">
        <f t="shared" si="28"/>
        <v>4</v>
      </c>
      <c r="X31" s="23" t="str">
        <f>IF(SUMPRODUCT($J$72:W$72,$J31:W31)&lt;0.5, "Pending", IF(W31&lt;0.5, "Complete", "In Progress"))</f>
        <v>Pending</v>
      </c>
      <c r="Y31" s="22">
        <v>1</v>
      </c>
      <c r="Z31" s="22">
        <f t="shared" si="29"/>
        <v>3</v>
      </c>
      <c r="AA31" s="23" t="str">
        <f>IF(SUMPRODUCT($J$72:Z$72,$J31:Z31)&lt;0.5, "Pending", IF(Z31&lt;0.5, "Complete", "In Progress"))</f>
        <v>In Progress</v>
      </c>
      <c r="AB31" s="22">
        <v>2</v>
      </c>
      <c r="AC31" s="22">
        <f t="shared" si="30"/>
        <v>1</v>
      </c>
      <c r="AD31" s="23" t="str">
        <f>IF(SUMPRODUCT($J$72:AC$72,$J31:AC31)&lt;0.5, "Pending", IF(AC31&lt;0.5, "Complete", "In Progress"))</f>
        <v>In Progress</v>
      </c>
      <c r="AE31" s="22">
        <v>1</v>
      </c>
      <c r="AF31" s="22">
        <f t="shared" si="31"/>
        <v>0</v>
      </c>
      <c r="AG31" s="23" t="str">
        <f>IF(SUMPRODUCT($J$72:AF$72,$J31:AF31)&lt;0.5, "Pending", IF(AF31&lt;0.5, "Complete", "In Progress"))</f>
        <v>Complete</v>
      </c>
      <c r="AH31" s="22">
        <v>0</v>
      </c>
      <c r="AI31" s="22">
        <f t="shared" si="32"/>
        <v>0</v>
      </c>
      <c r="AJ31" s="23" t="str">
        <f>IF(SUMPRODUCT($J$72:AI$72,$J31:AI31)&lt;0.5, "Pending", IF(AI31&lt;0.5, "Complete", "In Progress"))</f>
        <v>Complete</v>
      </c>
      <c r="AK31" s="22">
        <v>0</v>
      </c>
      <c r="AL31" s="22">
        <f t="shared" si="33"/>
        <v>0</v>
      </c>
      <c r="AM31" s="23" t="str">
        <f>IF(SUMPRODUCT($J$72:AL$72,$J31:AL31)&lt;0.5, "Pending", IF(AL31&lt;0.5, "Complete", "In Progress"))</f>
        <v>Complete</v>
      </c>
      <c r="AN31" s="22">
        <v>0</v>
      </c>
      <c r="AO31" s="22">
        <f t="shared" si="34"/>
        <v>0</v>
      </c>
      <c r="AP31" s="23" t="str">
        <f>IF(SUMPRODUCT($J$72:AO$72,$J31:AO31)&lt;0.5, "Pending", IF(AO31&lt;0.5, "Complete", "In Progress"))</f>
        <v>Complete</v>
      </c>
      <c r="AQ31" s="22">
        <v>0</v>
      </c>
      <c r="AR31" s="22">
        <f t="shared" si="35"/>
        <v>0</v>
      </c>
      <c r="AS31" s="23" t="str">
        <f>IF(SUMPRODUCT($J$72:AR$72,$J31:AR31)&lt;0.5, "Pending", IF(AR31&lt;0.5, "Complete", "In Progress"))</f>
        <v>Complete</v>
      </c>
      <c r="AT31" s="22">
        <v>0</v>
      </c>
      <c r="AU31" s="22">
        <f t="shared" si="36"/>
        <v>0</v>
      </c>
      <c r="AV31" s="23" t="str">
        <f>IF(SUMPRODUCT($J$72:AU$72,$J31:AU31)&lt;0.5, "Pending", IF(AU31&lt;0.5, "Complete", "In Progress"))</f>
        <v>Complete</v>
      </c>
      <c r="AW31" s="22">
        <v>0</v>
      </c>
      <c r="AX31" s="22">
        <f t="shared" si="37"/>
        <v>0</v>
      </c>
      <c r="AY31" s="23" t="str">
        <f>IF(SUMPRODUCT($J$72:AX$72,$J31:AX31)&lt;0.5, "Pending", IF(AX31&lt;0.5, "Complete", "In Progress"))</f>
        <v>Complete</v>
      </c>
      <c r="AZ31" s="22">
        <v>0</v>
      </c>
      <c r="BA31" s="22" t="e">
        <f>MAX(#REF!-AZ31,0)</f>
        <v>#REF!</v>
      </c>
      <c r="BB31" s="23" t="e">
        <f>IF(SUMPRODUCT($J$72:BA$72,$J31:BA31)&lt;0.5,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IF(SUMPRODUCT($J$72:BD$72,$J31:BD31)&lt;0.5,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IF(SUMPRODUCT($J$72:BG$72,$J31:BG31)&lt;0.5,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IF(SUMPRODUCT($J$72:BJ$72,$J31:BJ31)&lt;0.5,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IF(SUMPRODUCT($J$72:BM$72,$J31:BM31)&lt;0.5,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IF(SUMPRODUCT($J$72:BP$72,$J31:BP31)&lt;0.5,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IF(SUMPRODUCT($J$72:BS$72,$J31:BS31)&lt;0.5,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IF(SUMPRODUCT($J$72:BV$72,$J31:BV31)&lt;0.5,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IF(SUMPRODUCT($J$72:BY$72,$J31:BY31)&lt;0.5,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IF(SUMPRODUCT($J$72:CB$72,$J31:CB31)&lt;0.5, "Pending", IF(CB31&lt;0.5, "Complete", "In Progress"))</f>
        <v>#REF!</v>
      </c>
      <c r="CD31" s="24"/>
      <c r="CE31" s="25">
        <f>SUMPRODUCT($H$72:AY$72,$H31:AY31)</f>
        <v>4</v>
      </c>
    </row>
    <row r="32" spans="1:83" x14ac:dyDescent="0.2">
      <c r="A32" s="16" t="s">
        <v>107</v>
      </c>
      <c r="B32" s="16" t="s">
        <v>123</v>
      </c>
      <c r="C32" s="16"/>
      <c r="D32" s="17">
        <v>29</v>
      </c>
      <c r="E32" s="178" t="s">
        <v>172</v>
      </c>
      <c r="F32" s="18" t="s">
        <v>142</v>
      </c>
      <c r="G32" s="19" t="e">
        <f t="shared" ca="1" si="0"/>
        <v>#REF!</v>
      </c>
      <c r="H32" s="20">
        <v>1</v>
      </c>
      <c r="I32" s="21">
        <v>2</v>
      </c>
      <c r="J32" s="22">
        <v>0</v>
      </c>
      <c r="K32" s="22">
        <f t="shared" si="24"/>
        <v>2</v>
      </c>
      <c r="L32" s="23" t="str">
        <f>IF(SUMPRODUCT($J$72:K$72,$J32:K32)&lt;0.5, "Pending", IF(K32&lt;0.5, "Complete", "In Progress"))</f>
        <v>Pending</v>
      </c>
      <c r="M32" s="22">
        <v>0</v>
      </c>
      <c r="N32" s="22">
        <f t="shared" si="25"/>
        <v>2</v>
      </c>
      <c r="O32" s="23" t="str">
        <f>IF(SUMPRODUCT($J$72:N$72,$J32:N32)&lt;0.5, "Pending", IF(N32&lt;0.5, "Complete", "In Progress"))</f>
        <v>Pending</v>
      </c>
      <c r="P32" s="22">
        <v>2</v>
      </c>
      <c r="Q32" s="22">
        <f t="shared" si="26"/>
        <v>0</v>
      </c>
      <c r="R32" s="23" t="str">
        <f>IF(SUMPRODUCT($J$72:Q$72,$J32:Q32)&lt;0.5, "Pending", IF(Q32&lt;0.5, "Complete", "In Progress"))</f>
        <v>Complete</v>
      </c>
      <c r="S32" s="22">
        <v>0</v>
      </c>
      <c r="T32" s="22">
        <f t="shared" si="27"/>
        <v>0</v>
      </c>
      <c r="U32" s="23" t="str">
        <f>IF(SUMPRODUCT($J$72:T$72,$J32:T32)&lt;0.5, "Pending", IF(T32&lt;0.5, "Complete", "In Progress"))</f>
        <v>Complete</v>
      </c>
      <c r="V32" s="22">
        <v>0</v>
      </c>
      <c r="W32" s="22">
        <f t="shared" si="28"/>
        <v>0</v>
      </c>
      <c r="X32" s="23" t="str">
        <f>IF(SUMPRODUCT($J$72:W$72,$J32:W32)&lt;0.5, "Pending", IF(W32&lt;0.5, "Complete", "In Progress"))</f>
        <v>Complete</v>
      </c>
      <c r="Y32" s="22">
        <v>0</v>
      </c>
      <c r="Z32" s="22">
        <f t="shared" si="29"/>
        <v>0</v>
      </c>
      <c r="AA32" s="23" t="str">
        <f>IF(SUMPRODUCT($J$72:Z$72,$J32:Z32)&lt;0.5, "Pending", IF(Z32&lt;0.5, "Complete", "In Progress"))</f>
        <v>Complete</v>
      </c>
      <c r="AB32" s="22">
        <v>0</v>
      </c>
      <c r="AC32" s="22">
        <f t="shared" si="30"/>
        <v>0</v>
      </c>
      <c r="AD32" s="23" t="str">
        <f>IF(SUMPRODUCT($J$72:AC$72,$J32:AC32)&lt;0.5, "Pending", IF(AC32&lt;0.5, "Complete", "In Progress"))</f>
        <v>Complete</v>
      </c>
      <c r="AE32" s="22">
        <v>0</v>
      </c>
      <c r="AF32" s="22">
        <f t="shared" si="31"/>
        <v>0</v>
      </c>
      <c r="AG32" s="23" t="str">
        <f>IF(SUMPRODUCT($J$72:AF$72,$J32:AF32)&lt;0.5, "Pending", IF(AF32&lt;0.5, "Complete", "In Progress"))</f>
        <v>Complete</v>
      </c>
      <c r="AH32" s="22">
        <v>0</v>
      </c>
      <c r="AI32" s="22">
        <f t="shared" si="32"/>
        <v>0</v>
      </c>
      <c r="AJ32" s="23" t="str">
        <f>IF(SUMPRODUCT($J$72:AI$72,$J32:AI32)&lt;0.5, "Pending", IF(AI32&lt;0.5, "Complete", "In Progress"))</f>
        <v>Complete</v>
      </c>
      <c r="AK32" s="22">
        <v>0</v>
      </c>
      <c r="AL32" s="22">
        <f t="shared" si="33"/>
        <v>0</v>
      </c>
      <c r="AM32" s="23" t="str">
        <f>IF(SUMPRODUCT($J$72:AL$72,$J32:AL32)&lt;0.5, "Pending", IF(AL32&lt;0.5, "Complete", "In Progress"))</f>
        <v>Complete</v>
      </c>
      <c r="AN32" s="22">
        <v>0</v>
      </c>
      <c r="AO32" s="22">
        <f t="shared" si="34"/>
        <v>0</v>
      </c>
      <c r="AP32" s="23" t="str">
        <f>IF(SUMPRODUCT($J$72:AO$72,$J32:AO32)&lt;0.5, "Pending", IF(AO32&lt;0.5, "Complete", "In Progress"))</f>
        <v>Complete</v>
      </c>
      <c r="AQ32" s="22">
        <v>0</v>
      </c>
      <c r="AR32" s="22">
        <f t="shared" si="35"/>
        <v>0</v>
      </c>
      <c r="AS32" s="23" t="str">
        <f>IF(SUMPRODUCT($J$72:AR$72,$J32:AR32)&lt;0.5, "Pending", IF(AR32&lt;0.5, "Complete", "In Progress"))</f>
        <v>Complete</v>
      </c>
      <c r="AT32" s="22">
        <v>0</v>
      </c>
      <c r="AU32" s="22">
        <f t="shared" si="36"/>
        <v>0</v>
      </c>
      <c r="AV32" s="23" t="str">
        <f>IF(SUMPRODUCT($J$72:AU$72,$J32:AU32)&lt;0.5, "Pending", IF(AU32&lt;0.5, "Complete", "In Progress"))</f>
        <v>Complete</v>
      </c>
      <c r="AW32" s="22">
        <v>0</v>
      </c>
      <c r="AX32" s="22">
        <f t="shared" si="37"/>
        <v>0</v>
      </c>
      <c r="AY32" s="23" t="str">
        <f>IF(SUMPRODUCT($J$72:AX$72,$J32:AX32)&lt;0.5, "Pending", IF(AX32&lt;0.5, "Complete", "In Progress"))</f>
        <v>Complete</v>
      </c>
      <c r="AZ32" s="22">
        <v>0</v>
      </c>
      <c r="BA32" s="22" t="e">
        <f>MAX(#REF!-AZ32,0)</f>
        <v>#REF!</v>
      </c>
      <c r="BB32" s="23" t="e">
        <f>IF(SUMPRODUCT($J$72:BA$72,$J32:BA32)&lt;0.5,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IF(SUMPRODUCT($J$72:BD$72,$J32:BD32)&lt;0.5,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IF(SUMPRODUCT($J$72:BG$72,$J32:BG32)&lt;0.5,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IF(SUMPRODUCT($J$72:BJ$72,$J32:BJ32)&lt;0.5,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IF(SUMPRODUCT($J$72:BM$72,$J32:BM32)&lt;0.5,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IF(SUMPRODUCT($J$72:BP$72,$J32:BP32)&lt;0.5,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IF(SUMPRODUCT($J$72:BS$72,$J32:BS32)&lt;0.5,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IF(SUMPRODUCT($J$72:BV$72,$J32:BV32)&lt;0.5,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IF(SUMPRODUCT($J$72:BY$72,$J32:BY32)&lt;0.5,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IF(SUMPRODUCT($J$72:CB$72,$J32:CB32)&lt;0.5, "Pending", IF(CB32&lt;0.5, "Complete", "In Progress"))</f>
        <v>#REF!</v>
      </c>
      <c r="CD32" s="24"/>
      <c r="CE32" s="25">
        <f>SUMPRODUCT($H$72:AY$72,$H32:AY32)</f>
        <v>2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e">
        <f t="shared" ca="1" si="0"/>
        <v>#REF!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IF(SUMPRODUCT($J$72:K$72,$J33:K33)&lt;0.5,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IF(SUMPRODUCT($J$72:N$72,$J33:N33)&lt;0.5,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IF(SUMPRODUCT($J$72:Q$72,$J33:Q33)&lt;0.5,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IF(SUMPRODUCT($J$72:T$72,$J33:T33)&lt;0.5,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IF(SUMPRODUCT($J$72:W$72,$J33:W33)&lt;0.5,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IF(SUMPRODUCT($J$72:Z$72,$J33:Z33)&lt;0.5,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IF(SUMPRODUCT($J$72:AC$72,$J33:AC33)&lt;0.5,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IF(SUMPRODUCT($J$72:AF$72,$J33:AF33)&lt;0.5,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IF(SUMPRODUCT($J$72:AI$72,$J33:AI33)&lt;0.5,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IF(SUMPRODUCT($J$72:AL$72,$J33:AL33)&lt;0.5,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IF(SUMPRODUCT($J$72:AO$72,$J33:AO33)&lt;0.5,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IF(SUMPRODUCT($J$72:AR$72,$J33:AR33)&lt;0.5,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IF(SUMPRODUCT($J$72:AU$72,$J33:AU33)&lt;0.5,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IF(SUMPRODUCT($J$72:AX$72,$J33:AX33)&lt;0.5,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IF(SUMPRODUCT($J$72:BA$72,$J33:BA33)&lt;0.5,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IF(SUMPRODUCT($J$72:BD$72,$J33:BD33)&lt;0.5,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IF(SUMPRODUCT($J$72:BG$72,$J33:BG33)&lt;0.5,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IF(SUMPRODUCT($J$72:BJ$72,$J33:BJ33)&lt;0.5,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IF(SUMPRODUCT($J$72:BM$72,$J33:BM33)&lt;0.5,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IF(SUMPRODUCT($J$72:BP$72,$J33:BP33)&lt;0.5,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IF(SUMPRODUCT($J$72:BS$72,$J33:BS33)&lt;0.5,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IF(SUMPRODUCT($J$72:BV$72,$J33:BV33)&lt;0.5,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IF(SUMPRODUCT($J$72:BY$72,$J33:BY33)&lt;0.5,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IF(SUMPRODUCT($J$72:CB$72,$J33:CB33)&lt;0.5, "Pending", IF(CB33&lt;0.5, "Complete", "In Progress"))</f>
        <v>#REF!</v>
      </c>
      <c r="CD33" s="24"/>
      <c r="CE33" s="25">
        <f>SUMPRODUCT($H$72:AY$72,$H33:AY33)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e">
        <f t="shared" ca="1" si="0"/>
        <v>#REF!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IF(SUMPRODUCT($J$72:K$72,$J34:K34)&lt;0.5,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IF(SUMPRODUCT($J$72:N$72,$J34:N34)&lt;0.5,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IF(SUMPRODUCT($J$72:Q$72,$J34:Q34)&lt;0.5,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IF(SUMPRODUCT($J$72:T$72,$J34:T34)&lt;0.5,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IF(SUMPRODUCT($J$72:W$72,$J34:W34)&lt;0.5,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IF(SUMPRODUCT($J$72:Z$72,$J34:Z34)&lt;0.5,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IF(SUMPRODUCT($J$72:AC$72,$J34:AC34)&lt;0.5,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IF(SUMPRODUCT($J$72:AF$72,$J34:AF34)&lt;0.5,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IF(SUMPRODUCT($J$72:AI$72,$J34:AI34)&lt;0.5,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IF(SUMPRODUCT($J$72:AL$72,$J34:AL34)&lt;0.5,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IF(SUMPRODUCT($J$72:AO$72,$J34:AO34)&lt;0.5,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IF(SUMPRODUCT($J$72:AR$72,$J34:AR34)&lt;0.5,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IF(SUMPRODUCT($J$72:AU$72,$J34:AU34)&lt;0.5,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IF(SUMPRODUCT($J$72:AX$72,$J34:AX34)&lt;0.5,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IF(SUMPRODUCT($J$72:BA$72,$J34:BA34)&lt;0.5,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IF(SUMPRODUCT($J$72:BD$72,$J34:BD34)&lt;0.5,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IF(SUMPRODUCT($J$72:BG$72,$J34:BG34)&lt;0.5,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IF(SUMPRODUCT($J$72:BJ$72,$J34:BJ34)&lt;0.5,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IF(SUMPRODUCT($J$72:BM$72,$J34:BM34)&lt;0.5,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IF(SUMPRODUCT($J$72:BP$72,$J34:BP34)&lt;0.5,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IF(SUMPRODUCT($J$72:BS$72,$J34:BS34)&lt;0.5,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IF(SUMPRODUCT($J$72:BV$72,$J34:BV34)&lt;0.5,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IF(SUMPRODUCT($J$72:BY$72,$J34:BY34)&lt;0.5,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IF(SUMPRODUCT($J$72:CB$72,$J34:CB34)&lt;0.5, "Pending", IF(CB34&lt;0.5, "Complete", "In Progress"))</f>
        <v>#REF!</v>
      </c>
      <c r="CD34" s="24"/>
      <c r="CE34" s="25">
        <f>SUMPRODUCT($H$72:AY$72,$H34:AY34)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e">
        <f t="shared" ca="1" si="0"/>
        <v>#REF!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IF(SUMPRODUCT($J$72:K$72,$J35:K35)&lt;0.5,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IF(SUMPRODUCT($J$72:N$72,$J35:N35)&lt;0.5,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IF(SUMPRODUCT($J$72:Q$72,$J35:Q35)&lt;0.5,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IF(SUMPRODUCT($J$72:T$72,$J35:T35)&lt;0.5,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IF(SUMPRODUCT($J$72:W$72,$J35:W35)&lt;0.5,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IF(SUMPRODUCT($J$72:Z$72,$J35:Z35)&lt;0.5,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IF(SUMPRODUCT($J$72:AC$72,$J35:AC35)&lt;0.5,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IF(SUMPRODUCT($J$72:AF$72,$J35:AF35)&lt;0.5,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IF(SUMPRODUCT($J$72:AI$72,$J35:AI35)&lt;0.5,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IF(SUMPRODUCT($J$72:AL$72,$J35:AL35)&lt;0.5,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IF(SUMPRODUCT($J$72:AO$72,$J35:AO35)&lt;0.5,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IF(SUMPRODUCT($J$72:AR$72,$J35:AR35)&lt;0.5,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IF(SUMPRODUCT($J$72:AU$72,$J35:AU35)&lt;0.5,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IF(SUMPRODUCT($J$72:AX$72,$J35:AX35)&lt;0.5,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IF(SUMPRODUCT($J$72:BA$72,$J35:BA35)&lt;0.5,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IF(SUMPRODUCT($J$72:BD$72,$J35:BD35)&lt;0.5,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IF(SUMPRODUCT($J$72:BG$72,$J35:BG35)&lt;0.5,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IF(SUMPRODUCT($J$72:BJ$72,$J35:BJ35)&lt;0.5,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IF(SUMPRODUCT($J$72:BM$72,$J35:BM35)&lt;0.5,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IF(SUMPRODUCT($J$72:BP$72,$J35:BP35)&lt;0.5,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IF(SUMPRODUCT($J$72:BS$72,$J35:BS35)&lt;0.5,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IF(SUMPRODUCT($J$72:BV$72,$J35:BV35)&lt;0.5,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IF(SUMPRODUCT($J$72:BY$72,$J35:BY35)&lt;0.5,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IF(SUMPRODUCT($J$72:CB$72,$J35:CB35)&lt;0.5, "Pending", IF(CB35&lt;0.5, "Complete", "In Progress"))</f>
        <v>#REF!</v>
      </c>
      <c r="CD35" s="24"/>
      <c r="CE35" s="25">
        <f>SUMPRODUCT($H$72:AY$72,$H35:AY35)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e">
        <f t="shared" ca="1" si="0"/>
        <v>#REF!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IF(SUMPRODUCT($J$72:K$72,$J36:K36)&lt;0.5,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IF(SUMPRODUCT($J$72:N$72,$J36:N36)&lt;0.5,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IF(SUMPRODUCT($J$72:Q$72,$J36:Q36)&lt;0.5,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IF(SUMPRODUCT($J$72:T$72,$J36:T36)&lt;0.5,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IF(SUMPRODUCT($J$72:W$72,$J36:W36)&lt;0.5,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IF(SUMPRODUCT($J$72:Z$72,$J36:Z36)&lt;0.5,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IF(SUMPRODUCT($J$72:AC$72,$J36:AC36)&lt;0.5,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IF(SUMPRODUCT($J$72:AF$72,$J36:AF36)&lt;0.5,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IF(SUMPRODUCT($J$72:AI$72,$J36:AI36)&lt;0.5,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IF(SUMPRODUCT($J$72:AL$72,$J36:AL36)&lt;0.5,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IF(SUMPRODUCT($J$72:AO$72,$J36:AO36)&lt;0.5,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IF(SUMPRODUCT($J$72:AR$72,$J36:AR36)&lt;0.5,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IF(SUMPRODUCT($J$72:AU$72,$J36:AU36)&lt;0.5,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IF(SUMPRODUCT($J$72:AX$72,$J36:AX36)&lt;0.5,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IF(SUMPRODUCT($J$72:BA$72,$J36:BA36)&lt;0.5,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IF(SUMPRODUCT($J$72:BD$72,$J36:BD36)&lt;0.5,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IF(SUMPRODUCT($J$72:BG$72,$J36:BG36)&lt;0.5,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IF(SUMPRODUCT($J$72:BJ$72,$J36:BJ36)&lt;0.5,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IF(SUMPRODUCT($J$72:BM$72,$J36:BM36)&lt;0.5,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IF(SUMPRODUCT($J$72:BP$72,$J36:BP36)&lt;0.5,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IF(SUMPRODUCT($J$72:BS$72,$J36:BS36)&lt;0.5,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IF(SUMPRODUCT($J$72:BV$72,$J36:BV36)&lt;0.5,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IF(SUMPRODUCT($J$72:BY$72,$J36:BY36)&lt;0.5,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IF(SUMPRODUCT($J$72:CB$72,$J36:CB36)&lt;0.5, "Pending", IF(CB36&lt;0.5, "Complete", "In Progress"))</f>
        <v>#REF!</v>
      </c>
      <c r="CD36" s="24"/>
      <c r="CE36" s="25">
        <f>SUMPRODUCT($H$72:AY$72,$H36:AY36)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e">
        <f t="shared" ca="1" si="0"/>
        <v>#REF!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IF(SUMPRODUCT($J$72:K$72,$J37:K37)&lt;0.5,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IF(SUMPRODUCT($J$72:N$72,$J37:N37)&lt;0.5,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IF(SUMPRODUCT($J$72:Q$72,$J37:Q37)&lt;0.5,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IF(SUMPRODUCT($J$72:T$72,$J37:T37)&lt;0.5,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IF(SUMPRODUCT($J$72:W$72,$J37:W37)&lt;0.5,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IF(SUMPRODUCT($J$72:Z$72,$J37:Z37)&lt;0.5,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IF(SUMPRODUCT($J$72:AC$72,$J37:AC37)&lt;0.5,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IF(SUMPRODUCT($J$72:AF$72,$J37:AF37)&lt;0.5,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IF(SUMPRODUCT($J$72:AI$72,$J37:AI37)&lt;0.5,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IF(SUMPRODUCT($J$72:AL$72,$J37:AL37)&lt;0.5,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IF(SUMPRODUCT($J$72:AO$72,$J37:AO37)&lt;0.5,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IF(SUMPRODUCT($J$72:AR$72,$J37:AR37)&lt;0.5,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IF(SUMPRODUCT($J$72:AU$72,$J37:AU37)&lt;0.5,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IF(SUMPRODUCT($J$72:AX$72,$J37:AX37)&lt;0.5,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IF(SUMPRODUCT($J$72:BA$72,$J37:BA37)&lt;0.5,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IF(SUMPRODUCT($J$72:BD$72,$J37:BD37)&lt;0.5,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IF(SUMPRODUCT($J$72:BG$72,$J37:BG37)&lt;0.5,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IF(SUMPRODUCT($J$72:BJ$72,$J37:BJ37)&lt;0.5,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IF(SUMPRODUCT($J$72:BM$72,$J37:BM37)&lt;0.5,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IF(SUMPRODUCT($J$72:BP$72,$J37:BP37)&lt;0.5,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IF(SUMPRODUCT($J$72:BS$72,$J37:BS37)&lt;0.5,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IF(SUMPRODUCT($J$72:BV$72,$J37:BV37)&lt;0.5,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IF(SUMPRODUCT($J$72:BY$72,$J37:BY37)&lt;0.5,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IF(SUMPRODUCT($J$72:CB$72,$J37:CB37)&lt;0.5, "Pending", IF(CB37&lt;0.5, "Complete", "In Progress"))</f>
        <v>#REF!</v>
      </c>
      <c r="CD37" s="24"/>
      <c r="CE37" s="25">
        <f>SUMPRODUCT($H$72:AY$72,$H37:AY37)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e">
        <f t="shared" ca="1" si="0"/>
        <v>#REF!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IF(SUMPRODUCT($J$72:K$72,$J38:K38)&lt;0.5,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IF(SUMPRODUCT($J$72:N$72,$J38:N38)&lt;0.5,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IF(SUMPRODUCT($J$72:Q$72,$J38:Q38)&lt;0.5,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IF(SUMPRODUCT($J$72:T$72,$J38:T38)&lt;0.5,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IF(SUMPRODUCT($J$72:W$72,$J38:W38)&lt;0.5,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IF(SUMPRODUCT($J$72:Z$72,$J38:Z38)&lt;0.5,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IF(SUMPRODUCT($J$72:AC$72,$J38:AC38)&lt;0.5,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IF(SUMPRODUCT($J$72:AF$72,$J38:AF38)&lt;0.5,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IF(SUMPRODUCT($J$72:AI$72,$J38:AI38)&lt;0.5,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IF(SUMPRODUCT($J$72:AL$72,$J38:AL38)&lt;0.5,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IF(SUMPRODUCT($J$72:AO$72,$J38:AO38)&lt;0.5,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IF(SUMPRODUCT($J$72:AR$72,$J38:AR38)&lt;0.5,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IF(SUMPRODUCT($J$72:AU$72,$J38:AU38)&lt;0.5,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IF(SUMPRODUCT($J$72:AX$72,$J38:AX38)&lt;0.5,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IF(SUMPRODUCT($J$72:BA$72,$J38:BA38)&lt;0.5,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IF(SUMPRODUCT($J$72:BD$72,$J38:BD38)&lt;0.5,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IF(SUMPRODUCT($J$72:BG$72,$J38:BG38)&lt;0.5,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IF(SUMPRODUCT($J$72:BJ$72,$J38:BJ38)&lt;0.5,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IF(SUMPRODUCT($J$72:BM$72,$J38:BM38)&lt;0.5,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IF(SUMPRODUCT($J$72:BP$72,$J38:BP38)&lt;0.5,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IF(SUMPRODUCT($J$72:BS$72,$J38:BS38)&lt;0.5,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IF(SUMPRODUCT($J$72:BV$72,$J38:BV38)&lt;0.5,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IF(SUMPRODUCT($J$72:BY$72,$J38:BY38)&lt;0.5,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IF(SUMPRODUCT($J$72:CB$72,$J38:CB38)&lt;0.5, "Pending", IF(CB38&lt;0.5, "Complete", "In Progress"))</f>
        <v>#REF!</v>
      </c>
      <c r="CD38" s="24"/>
      <c r="CE38" s="25">
        <f>SUMPRODUCT($H$72:AY$72,$H38:AY38)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e">
        <f t="shared" ca="1" si="0"/>
        <v>#REF!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IF(SUMPRODUCT($J$72:K$72,$J39:K39)&lt;0.5,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IF(SUMPRODUCT($J$72:N$72,$J39:N39)&lt;0.5,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IF(SUMPRODUCT($J$72:Q$72,$J39:Q39)&lt;0.5,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IF(SUMPRODUCT($J$72:T$72,$J39:T39)&lt;0.5,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IF(SUMPRODUCT($J$72:W$72,$J39:W39)&lt;0.5,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IF(SUMPRODUCT($J$72:Z$72,$J39:Z39)&lt;0.5,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IF(SUMPRODUCT($J$72:AC$72,$J39:AC39)&lt;0.5,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IF(SUMPRODUCT($J$72:AF$72,$J39:AF39)&lt;0.5,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IF(SUMPRODUCT($J$72:AI$72,$J39:AI39)&lt;0.5,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IF(SUMPRODUCT($J$72:AL$72,$J39:AL39)&lt;0.5,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IF(SUMPRODUCT($J$72:AO$72,$J39:AO39)&lt;0.5,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IF(SUMPRODUCT($J$72:AR$72,$J39:AR39)&lt;0.5,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IF(SUMPRODUCT($J$72:AU$72,$J39:AU39)&lt;0.5,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IF(SUMPRODUCT($J$72:AX$72,$J39:AX39)&lt;0.5,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IF(SUMPRODUCT($J$72:BA$72,$J39:BA39)&lt;0.5,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IF(SUMPRODUCT($J$72:BD$72,$J39:BD39)&lt;0.5,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IF(SUMPRODUCT($J$72:BG$72,$J39:BG39)&lt;0.5,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IF(SUMPRODUCT($J$72:BJ$72,$J39:BJ39)&lt;0.5,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IF(SUMPRODUCT($J$72:BM$72,$J39:BM39)&lt;0.5,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IF(SUMPRODUCT($J$72:BP$72,$J39:BP39)&lt;0.5,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IF(SUMPRODUCT($J$72:BS$72,$J39:BS39)&lt;0.5,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IF(SUMPRODUCT($J$72:BV$72,$J39:BV39)&lt;0.5,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IF(SUMPRODUCT($J$72:BY$72,$J39:BY39)&lt;0.5,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IF(SUMPRODUCT($J$72:CB$72,$J39:CB39)&lt;0.5, "Pending", IF(CB39&lt;0.5, "Complete", "In Progress"))</f>
        <v>#REF!</v>
      </c>
      <c r="CD39" s="24"/>
      <c r="CE39" s="25">
        <f>SUMPRODUCT($H$72:AY$72,$H39:AY39)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e">
        <f t="shared" ca="1" si="0"/>
        <v>#REF!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IF(SUMPRODUCT($J$72:K$72,$J40:K40)&lt;0.5,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IF(SUMPRODUCT($J$72:N$72,$J40:N40)&lt;0.5,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IF(SUMPRODUCT($J$72:Q$72,$J40:Q40)&lt;0.5,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IF(SUMPRODUCT($J$72:T$72,$J40:T40)&lt;0.5,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IF(SUMPRODUCT($J$72:W$72,$J40:W40)&lt;0.5,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IF(SUMPRODUCT($J$72:Z$72,$J40:Z40)&lt;0.5,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IF(SUMPRODUCT($J$72:AC$72,$J40:AC40)&lt;0.5,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IF(SUMPRODUCT($J$72:AF$72,$J40:AF40)&lt;0.5,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IF(SUMPRODUCT($J$72:AI$72,$J40:AI40)&lt;0.5,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IF(SUMPRODUCT($J$72:AL$72,$J40:AL40)&lt;0.5,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IF(SUMPRODUCT($J$72:AO$72,$J40:AO40)&lt;0.5,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IF(SUMPRODUCT($J$72:AR$72,$J40:AR40)&lt;0.5,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IF(SUMPRODUCT($J$72:AU$72,$J40:AU40)&lt;0.5,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IF(SUMPRODUCT($J$72:AX$72,$J40:AX40)&lt;0.5,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IF(SUMPRODUCT($J$72:BA$72,$J40:BA40)&lt;0.5,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IF(SUMPRODUCT($J$72:BD$72,$J40:BD40)&lt;0.5,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IF(SUMPRODUCT($J$72:BG$72,$J40:BG40)&lt;0.5,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IF(SUMPRODUCT($J$72:BJ$72,$J40:BJ40)&lt;0.5,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IF(SUMPRODUCT($J$72:BM$72,$J40:BM40)&lt;0.5,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IF(SUMPRODUCT($J$72:BP$72,$J40:BP40)&lt;0.5,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IF(SUMPRODUCT($J$72:BS$72,$J40:BS40)&lt;0.5,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IF(SUMPRODUCT($J$72:BV$72,$J40:BV40)&lt;0.5,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IF(SUMPRODUCT($J$72:BY$72,$J40:BY40)&lt;0.5,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IF(SUMPRODUCT($J$72:CB$72,$J40:CB40)&lt;0.5, "Pending", IF(CB40&lt;0.5, "Complete", "In Progress"))</f>
        <v>#REF!</v>
      </c>
      <c r="CD40" s="24"/>
      <c r="CE40" s="25">
        <f>SUMPRODUCT($H$72:AY$72,$H40:AY40)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e">
        <f t="shared" ca="1" si="0"/>
        <v>#REF!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IF(SUMPRODUCT($J$72:K$72,$J41:K41)&lt;0.5,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IF(SUMPRODUCT($J$72:N$72,$J41:N41)&lt;0.5,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IF(SUMPRODUCT($J$72:Q$72,$J41:Q41)&lt;0.5,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IF(SUMPRODUCT($J$72:T$72,$J41:T41)&lt;0.5,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IF(SUMPRODUCT($J$72:W$72,$J41:W41)&lt;0.5,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IF(SUMPRODUCT($J$72:Z$72,$J41:Z41)&lt;0.5,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IF(SUMPRODUCT($J$72:AC$72,$J41:AC41)&lt;0.5,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IF(SUMPRODUCT($J$72:AF$72,$J41:AF41)&lt;0.5,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IF(SUMPRODUCT($J$72:AI$72,$J41:AI41)&lt;0.5,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IF(SUMPRODUCT($J$72:AL$72,$J41:AL41)&lt;0.5,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IF(SUMPRODUCT($J$72:AO$72,$J41:AO41)&lt;0.5,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IF(SUMPRODUCT($J$72:AR$72,$J41:AR41)&lt;0.5,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IF(SUMPRODUCT($J$72:AU$72,$J41:AU41)&lt;0.5,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IF(SUMPRODUCT($J$72:AX$72,$J41:AX41)&lt;0.5,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IF(SUMPRODUCT($J$72:BA$72,$J41:BA41)&lt;0.5,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IF(SUMPRODUCT($J$72:BD$72,$J41:BD41)&lt;0.5,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IF(SUMPRODUCT($J$72:BG$72,$J41:BG41)&lt;0.5,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IF(SUMPRODUCT($J$72:BJ$72,$J41:BJ41)&lt;0.5,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IF(SUMPRODUCT($J$72:BM$72,$J41:BM41)&lt;0.5,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IF(SUMPRODUCT($J$72:BP$72,$J41:BP41)&lt;0.5,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IF(SUMPRODUCT($J$72:BS$72,$J41:BS41)&lt;0.5,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IF(SUMPRODUCT($J$72:BV$72,$J41:BV41)&lt;0.5,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IF(SUMPRODUCT($J$72:BY$72,$J41:BY41)&lt;0.5,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IF(SUMPRODUCT($J$72:CB$72,$J41:CB41)&lt;0.5, "Pending", IF(CB41&lt;0.5, "Complete", "In Progress"))</f>
        <v>#REF!</v>
      </c>
      <c r="CD41" s="24"/>
      <c r="CE41" s="25">
        <f>SUMPRODUCT($H$72:AY$72,$H41:AY41)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e">
        <f t="shared" ca="1" si="0"/>
        <v>#REF!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IF(SUMPRODUCT($J$72:K$72,$J42:K42)&lt;0.5,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IF(SUMPRODUCT($J$72:N$72,$J42:N42)&lt;0.5,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IF(SUMPRODUCT($J$72:Q$72,$J42:Q42)&lt;0.5,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IF(SUMPRODUCT($J$72:T$72,$J42:T42)&lt;0.5,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IF(SUMPRODUCT($J$72:W$72,$J42:W42)&lt;0.5,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IF(SUMPRODUCT($J$72:Z$72,$J42:Z42)&lt;0.5,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IF(SUMPRODUCT($J$72:AC$72,$J42:AC42)&lt;0.5,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IF(SUMPRODUCT($J$72:AF$72,$J42:AF42)&lt;0.5,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IF(SUMPRODUCT($J$72:AI$72,$J42:AI42)&lt;0.5,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IF(SUMPRODUCT($J$72:AL$72,$J42:AL42)&lt;0.5,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IF(SUMPRODUCT($J$72:AO$72,$J42:AO42)&lt;0.5,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IF(SUMPRODUCT($J$72:AR$72,$J42:AR42)&lt;0.5,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IF(SUMPRODUCT($J$72:AU$72,$J42:AU42)&lt;0.5,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IF(SUMPRODUCT($J$72:AX$72,$J42:AX42)&lt;0.5,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IF(SUMPRODUCT($J$72:BA$72,$J42:BA42)&lt;0.5,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IF(SUMPRODUCT($J$72:BD$72,$J42:BD42)&lt;0.5,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IF(SUMPRODUCT($J$72:BG$72,$J42:BG42)&lt;0.5,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IF(SUMPRODUCT($J$72:BJ$72,$J42:BJ42)&lt;0.5,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IF(SUMPRODUCT($J$72:BM$72,$J42:BM42)&lt;0.5,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IF(SUMPRODUCT($J$72:BP$72,$J42:BP42)&lt;0.5,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IF(SUMPRODUCT($J$72:BS$72,$J42:BS42)&lt;0.5,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IF(SUMPRODUCT($J$72:BV$72,$J42:BV42)&lt;0.5,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IF(SUMPRODUCT($J$72:BY$72,$J42:BY42)&lt;0.5,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IF(SUMPRODUCT($J$72:CB$72,$J42:CB42)&lt;0.5, "Pending", IF(CB42&lt;0.5, "Complete", "In Progress"))</f>
        <v>#REF!</v>
      </c>
      <c r="CD42" s="24"/>
      <c r="CE42" s="25">
        <f>SUMPRODUCT($H$72:AY$72,$H42:AY42)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e">
        <f t="shared" ca="1" si="0"/>
        <v>#REF!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IF(SUMPRODUCT($J$72:K$72,$J43:K43)&lt;0.5,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IF(SUMPRODUCT($J$72:N$72,$J43:N43)&lt;0.5,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IF(SUMPRODUCT($J$72:Q$72,$J43:Q43)&lt;0.5,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IF(SUMPRODUCT($J$72:T$72,$J43:T43)&lt;0.5,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IF(SUMPRODUCT($J$72:W$72,$J43:W43)&lt;0.5,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IF(SUMPRODUCT($J$72:Z$72,$J43:Z43)&lt;0.5,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IF(SUMPRODUCT($J$72:AC$72,$J43:AC43)&lt;0.5,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IF(SUMPRODUCT($J$72:AF$72,$J43:AF43)&lt;0.5,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IF(SUMPRODUCT($J$72:AI$72,$J43:AI43)&lt;0.5,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IF(SUMPRODUCT($J$72:AL$72,$J43:AL43)&lt;0.5,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IF(SUMPRODUCT($J$72:AO$72,$J43:AO43)&lt;0.5,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IF(SUMPRODUCT($J$72:AR$72,$J43:AR43)&lt;0.5,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IF(SUMPRODUCT($J$72:AU$72,$J43:AU43)&lt;0.5,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IF(SUMPRODUCT($J$72:AX$72,$J43:AX43)&lt;0.5,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IF(SUMPRODUCT($J$72:BA$72,$J43:BA43)&lt;0.5,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IF(SUMPRODUCT($J$72:BD$72,$J43:BD43)&lt;0.5,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IF(SUMPRODUCT($J$72:BG$72,$J43:BG43)&lt;0.5,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IF(SUMPRODUCT($J$72:BJ$72,$J43:BJ43)&lt;0.5,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IF(SUMPRODUCT($J$72:BM$72,$J43:BM43)&lt;0.5,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IF(SUMPRODUCT($J$72:BP$72,$J43:BP43)&lt;0.5,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IF(SUMPRODUCT($J$72:BS$72,$J43:BS43)&lt;0.5,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IF(SUMPRODUCT($J$72:BV$72,$J43:BV43)&lt;0.5,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IF(SUMPRODUCT($J$72:BY$72,$J43:BY43)&lt;0.5,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IF(SUMPRODUCT($J$72:CB$72,$J43:CB43)&lt;0.5, "Pending", IF(CB43&lt;0.5, "Complete", "In Progress"))</f>
        <v>#REF!</v>
      </c>
      <c r="CD43" s="24"/>
      <c r="CE43" s="25">
        <f>SUMPRODUCT($H$72:AY$72,$H43:AY43)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e">
        <f t="shared" ca="1" si="0"/>
        <v>#REF!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IF(SUMPRODUCT($J$72:K$72,$J44:K44)&lt;0.5,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IF(SUMPRODUCT($J$72:N$72,$J44:N44)&lt;0.5,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IF(SUMPRODUCT($J$72:Q$72,$J44:Q44)&lt;0.5,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IF(SUMPRODUCT($J$72:T$72,$J44:T44)&lt;0.5,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IF(SUMPRODUCT($J$72:W$72,$J44:W44)&lt;0.5,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IF(SUMPRODUCT($J$72:Z$72,$J44:Z44)&lt;0.5,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IF(SUMPRODUCT($J$72:AC$72,$J44:AC44)&lt;0.5,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IF(SUMPRODUCT($J$72:AF$72,$J44:AF44)&lt;0.5,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IF(SUMPRODUCT($J$72:AI$72,$J44:AI44)&lt;0.5,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IF(SUMPRODUCT($J$72:AL$72,$J44:AL44)&lt;0.5,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IF(SUMPRODUCT($J$72:AO$72,$J44:AO44)&lt;0.5,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IF(SUMPRODUCT($J$72:AR$72,$J44:AR44)&lt;0.5,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IF(SUMPRODUCT($J$72:AU$72,$J44:AU44)&lt;0.5,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IF(SUMPRODUCT($J$72:AX$72,$J44:AX44)&lt;0.5,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IF(SUMPRODUCT($J$72:BA$72,$J44:BA44)&lt;0.5,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IF(SUMPRODUCT($J$72:BD$72,$J44:BD44)&lt;0.5,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IF(SUMPRODUCT($J$72:BG$72,$J44:BG44)&lt;0.5,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IF(SUMPRODUCT($J$72:BJ$72,$J44:BJ44)&lt;0.5,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IF(SUMPRODUCT($J$72:BM$72,$J44:BM44)&lt;0.5,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IF(SUMPRODUCT($J$72:BP$72,$J44:BP44)&lt;0.5,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IF(SUMPRODUCT($J$72:BS$72,$J44:BS44)&lt;0.5,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IF(SUMPRODUCT($J$72:BV$72,$J44:BV44)&lt;0.5,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IF(SUMPRODUCT($J$72:BY$72,$J44:BY44)&lt;0.5,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IF(SUMPRODUCT($J$72:CB$72,$J44:CB44)&lt;0.5, "Pending", IF(CB44&lt;0.5, "Complete", "In Progress"))</f>
        <v>#REF!</v>
      </c>
      <c r="CD44" s="24"/>
      <c r="CE44" s="25">
        <f>SUMPRODUCT($H$72:AY$72,$H44:AY44)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e">
        <f t="shared" ca="1" si="0"/>
        <v>#REF!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IF(SUMPRODUCT($J$72:K$72,$J45:K45)&lt;0.5,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IF(SUMPRODUCT($J$72:N$72,$J45:N45)&lt;0.5,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IF(SUMPRODUCT($J$72:Q$72,$J45:Q45)&lt;0.5,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IF(SUMPRODUCT($J$72:T$72,$J45:T45)&lt;0.5,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IF(SUMPRODUCT($J$72:W$72,$J45:W45)&lt;0.5,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IF(SUMPRODUCT($J$72:Z$72,$J45:Z45)&lt;0.5,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IF(SUMPRODUCT($J$72:AC$72,$J45:AC45)&lt;0.5,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IF(SUMPRODUCT($J$72:AF$72,$J45:AF45)&lt;0.5,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IF(SUMPRODUCT($J$72:AI$72,$J45:AI45)&lt;0.5,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IF(SUMPRODUCT($J$72:AL$72,$J45:AL45)&lt;0.5,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IF(SUMPRODUCT($J$72:AO$72,$J45:AO45)&lt;0.5,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IF(SUMPRODUCT($J$72:AR$72,$J45:AR45)&lt;0.5,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IF(SUMPRODUCT($J$72:AU$72,$J45:AU45)&lt;0.5,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IF(SUMPRODUCT($J$72:AX$72,$J45:AX45)&lt;0.5,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IF(SUMPRODUCT($J$72:BA$72,$J45:BA45)&lt;0.5,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IF(SUMPRODUCT($J$72:BD$72,$J45:BD45)&lt;0.5,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IF(SUMPRODUCT($J$72:BG$72,$J45:BG45)&lt;0.5,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IF(SUMPRODUCT($J$72:BJ$72,$J45:BJ45)&lt;0.5,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IF(SUMPRODUCT($J$72:BM$72,$J45:BM45)&lt;0.5,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IF(SUMPRODUCT($J$72:BP$72,$J45:BP45)&lt;0.5,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IF(SUMPRODUCT($J$72:BS$72,$J45:BS45)&lt;0.5,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IF(SUMPRODUCT($J$72:BV$72,$J45:BV45)&lt;0.5,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IF(SUMPRODUCT($J$72:BY$72,$J45:BY45)&lt;0.5,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IF(SUMPRODUCT($J$72:CB$72,$J45:CB45)&lt;0.5, "Pending", IF(CB45&lt;0.5, "Complete", "In Progress"))</f>
        <v>#REF!</v>
      </c>
      <c r="CD45" s="24"/>
      <c r="CE45" s="25">
        <f>SUMPRODUCT($H$72:AY$72,$H45:AY45)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e">
        <f t="shared" ca="1" si="0"/>
        <v>#REF!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IF(SUMPRODUCT($J$72:K$72,$J46:K46)&lt;0.5,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IF(SUMPRODUCT($J$72:N$72,$J46:N46)&lt;0.5,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IF(SUMPRODUCT($J$72:Q$72,$J46:Q46)&lt;0.5,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IF(SUMPRODUCT($J$72:T$72,$J46:T46)&lt;0.5,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IF(SUMPRODUCT($J$72:W$72,$J46:W46)&lt;0.5,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IF(SUMPRODUCT($J$72:Z$72,$J46:Z46)&lt;0.5,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IF(SUMPRODUCT($J$72:AC$72,$J46:AC46)&lt;0.5,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IF(SUMPRODUCT($J$72:AF$72,$J46:AF46)&lt;0.5,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IF(SUMPRODUCT($J$72:AI$72,$J46:AI46)&lt;0.5,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IF(SUMPRODUCT($J$72:AL$72,$J46:AL46)&lt;0.5,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IF(SUMPRODUCT($J$72:AO$72,$J46:AO46)&lt;0.5,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IF(SUMPRODUCT($J$72:AR$72,$J46:AR46)&lt;0.5,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IF(SUMPRODUCT($J$72:AU$72,$J46:AU46)&lt;0.5,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IF(SUMPRODUCT($J$72:AX$72,$J46:AX46)&lt;0.5,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IF(SUMPRODUCT($J$72:BA$72,$J46:BA46)&lt;0.5,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IF(SUMPRODUCT($J$72:BD$72,$J46:BD46)&lt;0.5,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IF(SUMPRODUCT($J$72:BG$72,$J46:BG46)&lt;0.5,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IF(SUMPRODUCT($J$72:BJ$72,$J46:BJ46)&lt;0.5,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IF(SUMPRODUCT($J$72:BM$72,$J46:BM46)&lt;0.5,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IF(SUMPRODUCT($J$72:BP$72,$J46:BP46)&lt;0.5,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IF(SUMPRODUCT($J$72:BS$72,$J46:BS46)&lt;0.5,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IF(SUMPRODUCT($J$72:BV$72,$J46:BV46)&lt;0.5,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IF(SUMPRODUCT($J$72:BY$72,$J46:BY46)&lt;0.5,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IF(SUMPRODUCT($J$72:CB$72,$J46:CB46)&lt;0.5, "Pending", IF(CB46&lt;0.5, "Complete", "In Progress"))</f>
        <v>#REF!</v>
      </c>
      <c r="CD46" s="24"/>
      <c r="CE46" s="25">
        <f>SUMPRODUCT($H$72:AY$72,$H46:AY46)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e">
        <f t="shared" ca="1" si="0"/>
        <v>#REF!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IF(SUMPRODUCT($J$72:K$72,$J47:K47)&lt;0.5,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IF(SUMPRODUCT($J$72:N$72,$J47:N47)&lt;0.5,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IF(SUMPRODUCT($J$72:Q$72,$J47:Q47)&lt;0.5,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IF(SUMPRODUCT($J$72:T$72,$J47:T47)&lt;0.5,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IF(SUMPRODUCT($J$72:W$72,$J47:W47)&lt;0.5,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IF(SUMPRODUCT($J$72:Z$72,$J47:Z47)&lt;0.5,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IF(SUMPRODUCT($J$72:AC$72,$J47:AC47)&lt;0.5,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IF(SUMPRODUCT($J$72:AF$72,$J47:AF47)&lt;0.5,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IF(SUMPRODUCT($J$72:AI$72,$J47:AI47)&lt;0.5,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IF(SUMPRODUCT($J$72:AL$72,$J47:AL47)&lt;0.5,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IF(SUMPRODUCT($J$72:AO$72,$J47:AO47)&lt;0.5,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IF(SUMPRODUCT($J$72:AR$72,$J47:AR47)&lt;0.5,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IF(SUMPRODUCT($J$72:AU$72,$J47:AU47)&lt;0.5,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IF(SUMPRODUCT($J$72:AX$72,$J47:AX47)&lt;0.5,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IF(SUMPRODUCT($J$72:BA$72,$J47:BA47)&lt;0.5,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IF(SUMPRODUCT($J$72:BD$72,$J47:BD47)&lt;0.5,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IF(SUMPRODUCT($J$72:BG$72,$J47:BG47)&lt;0.5,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IF(SUMPRODUCT($J$72:BJ$72,$J47:BJ47)&lt;0.5,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IF(SUMPRODUCT($J$72:BM$72,$J47:BM47)&lt;0.5,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IF(SUMPRODUCT($J$72:BP$72,$J47:BP47)&lt;0.5,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IF(SUMPRODUCT($J$72:BS$72,$J47:BS47)&lt;0.5,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IF(SUMPRODUCT($J$72:BV$72,$J47:BV47)&lt;0.5,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IF(SUMPRODUCT($J$72:BY$72,$J47:BY47)&lt;0.5,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IF(SUMPRODUCT($J$72:CB$72,$J47:CB47)&lt;0.5, "Pending", IF(CB47&lt;0.5, "Complete", "In Progress"))</f>
        <v>#REF!</v>
      </c>
      <c r="CD47" s="24"/>
      <c r="CE47" s="25">
        <f>SUMPRODUCT($H$72:AY$72,$H47:AY47)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e">
        <f t="shared" ca="1" si="0"/>
        <v>#REF!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IF(SUMPRODUCT($J$72:K$72,$J48:K48)&lt;0.5,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IF(SUMPRODUCT($J$72:N$72,$J48:N48)&lt;0.5,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IF(SUMPRODUCT($J$72:Q$72,$J48:Q48)&lt;0.5,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IF(SUMPRODUCT($J$72:T$72,$J48:T48)&lt;0.5,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IF(SUMPRODUCT($J$72:W$72,$J48:W48)&lt;0.5,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IF(SUMPRODUCT($J$72:Z$72,$J48:Z48)&lt;0.5,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IF(SUMPRODUCT($J$72:AC$72,$J48:AC48)&lt;0.5,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IF(SUMPRODUCT($J$72:AF$72,$J48:AF48)&lt;0.5,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IF(SUMPRODUCT($J$72:AI$72,$J48:AI48)&lt;0.5,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IF(SUMPRODUCT($J$72:AL$72,$J48:AL48)&lt;0.5,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IF(SUMPRODUCT($J$72:AO$72,$J48:AO48)&lt;0.5,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IF(SUMPRODUCT($J$72:AR$72,$J48:AR48)&lt;0.5,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IF(SUMPRODUCT($J$72:AU$72,$J48:AU48)&lt;0.5,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IF(SUMPRODUCT($J$72:AX$72,$J48:AX48)&lt;0.5,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IF(SUMPRODUCT($J$72:BA$72,$J48:BA48)&lt;0.5,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IF(SUMPRODUCT($J$72:BD$72,$J48:BD48)&lt;0.5,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IF(SUMPRODUCT($J$72:BG$72,$J48:BG48)&lt;0.5,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IF(SUMPRODUCT($J$72:BJ$72,$J48:BJ48)&lt;0.5,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IF(SUMPRODUCT($J$72:BM$72,$J48:BM48)&lt;0.5,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IF(SUMPRODUCT($J$72:BP$72,$J48:BP48)&lt;0.5,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IF(SUMPRODUCT($J$72:BS$72,$J48:BS48)&lt;0.5,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IF(SUMPRODUCT($J$72:BV$72,$J48:BV48)&lt;0.5,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IF(SUMPRODUCT($J$72:BY$72,$J48:BY48)&lt;0.5,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IF(SUMPRODUCT($J$72:CB$72,$J48:CB48)&lt;0.5, "Pending", IF(CB48&lt;0.5, "Complete", "In Progress"))</f>
        <v>#REF!</v>
      </c>
      <c r="CD48" s="24"/>
      <c r="CE48" s="25">
        <f>SUMPRODUCT($H$72:AY$72,$H48:AY48)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e">
        <f t="shared" ca="1" si="0"/>
        <v>#REF!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IF(SUMPRODUCT($J$72:K$72,$J49:K49)&lt;0.5,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IF(SUMPRODUCT($J$72:N$72,$J49:N49)&lt;0.5,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IF(SUMPRODUCT($J$72:Q$72,$J49:Q49)&lt;0.5,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IF(SUMPRODUCT($J$72:T$72,$J49:T49)&lt;0.5,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IF(SUMPRODUCT($J$72:W$72,$J49:W49)&lt;0.5,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IF(SUMPRODUCT($J$72:Z$72,$J49:Z49)&lt;0.5,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IF(SUMPRODUCT($J$72:AC$72,$J49:AC49)&lt;0.5,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IF(SUMPRODUCT($J$72:AF$72,$J49:AF49)&lt;0.5,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IF(SUMPRODUCT($J$72:AI$72,$J49:AI49)&lt;0.5,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IF(SUMPRODUCT($J$72:AL$72,$J49:AL49)&lt;0.5,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IF(SUMPRODUCT($J$72:AO$72,$J49:AO49)&lt;0.5,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IF(SUMPRODUCT($J$72:AR$72,$J49:AR49)&lt;0.5,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IF(SUMPRODUCT($J$72:AU$72,$J49:AU49)&lt;0.5,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IF(SUMPRODUCT($J$72:AX$72,$J49:AX49)&lt;0.5,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IF(SUMPRODUCT($J$72:BA$72,$J49:BA49)&lt;0.5,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IF(SUMPRODUCT($J$72:BD$72,$J49:BD49)&lt;0.5,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IF(SUMPRODUCT($J$72:BG$72,$J49:BG49)&lt;0.5,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IF(SUMPRODUCT($J$72:BJ$72,$J49:BJ49)&lt;0.5,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IF(SUMPRODUCT($J$72:BM$72,$J49:BM49)&lt;0.5,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IF(SUMPRODUCT($J$72:BP$72,$J49:BP49)&lt;0.5,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IF(SUMPRODUCT($J$72:BS$72,$J49:BS49)&lt;0.5,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IF(SUMPRODUCT($J$72:BV$72,$J49:BV49)&lt;0.5,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IF(SUMPRODUCT($J$72:BY$72,$J49:BY49)&lt;0.5,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IF(SUMPRODUCT($J$72:CB$72,$J49:CB49)&lt;0.5, "Pending", IF(CB49&lt;0.5, "Complete", "In Progress"))</f>
        <v>#REF!</v>
      </c>
      <c r="CD49" s="24"/>
      <c r="CE49" s="25">
        <f>SUMPRODUCT($H$72:AY$72,$H49:AY49)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e">
        <f t="shared" ca="1" si="0"/>
        <v>#REF!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IF(SUMPRODUCT($J$72:K$72,$J50:K50)&lt;0.5,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IF(SUMPRODUCT($J$72:N$72,$J50:N50)&lt;0.5,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IF(SUMPRODUCT($J$72:Q$72,$J50:Q50)&lt;0.5,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IF(SUMPRODUCT($J$72:T$72,$J50:T50)&lt;0.5,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IF(SUMPRODUCT($J$72:W$72,$J50:W50)&lt;0.5,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IF(SUMPRODUCT($J$72:Z$72,$J50:Z50)&lt;0.5,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IF(SUMPRODUCT($J$72:AC$72,$J50:AC50)&lt;0.5,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IF(SUMPRODUCT($J$72:AF$72,$J50:AF50)&lt;0.5,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IF(SUMPRODUCT($J$72:AI$72,$J50:AI50)&lt;0.5,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IF(SUMPRODUCT($J$72:AL$72,$J50:AL50)&lt;0.5,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IF(SUMPRODUCT($J$72:AO$72,$J50:AO50)&lt;0.5,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IF(SUMPRODUCT($J$72:AR$72,$J50:AR50)&lt;0.5,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IF(SUMPRODUCT($J$72:AU$72,$J50:AU50)&lt;0.5,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IF(SUMPRODUCT($J$72:AX$72,$J50:AX50)&lt;0.5,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IF(SUMPRODUCT($J$72:BA$72,$J50:BA50)&lt;0.5,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IF(SUMPRODUCT($J$72:BD$72,$J50:BD50)&lt;0.5,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IF(SUMPRODUCT($J$72:BG$72,$J50:BG50)&lt;0.5,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IF(SUMPRODUCT($J$72:BJ$72,$J50:BJ50)&lt;0.5,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IF(SUMPRODUCT($J$72:BM$72,$J50:BM50)&lt;0.5,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IF(SUMPRODUCT($J$72:BP$72,$J50:BP50)&lt;0.5,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IF(SUMPRODUCT($J$72:BS$72,$J50:BS50)&lt;0.5,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IF(SUMPRODUCT($J$72:BV$72,$J50:BV50)&lt;0.5,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IF(SUMPRODUCT($J$72:BY$72,$J50:BY50)&lt;0.5,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IF(SUMPRODUCT($J$72:CB$72,$J50:CB50)&lt;0.5, "Pending", IF(CB50&lt;0.5, "Complete", "In Progress"))</f>
        <v>#REF!</v>
      </c>
      <c r="CD50" s="24"/>
      <c r="CE50" s="25">
        <f>SUMPRODUCT($H$72:AY$72,$H50:AY50)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e">
        <f t="shared" ca="1" si="0"/>
        <v>#REF!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IF(SUMPRODUCT($J$72:K$72,$J51:K51)&lt;0.5,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IF(SUMPRODUCT($J$72:N$72,$J51:N51)&lt;0.5,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IF(SUMPRODUCT($J$72:Q$72,$J51:Q51)&lt;0.5,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IF(SUMPRODUCT($J$72:T$72,$J51:T51)&lt;0.5,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IF(SUMPRODUCT($J$72:W$72,$J51:W51)&lt;0.5,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IF(SUMPRODUCT($J$72:Z$72,$J51:Z51)&lt;0.5,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IF(SUMPRODUCT($J$72:AC$72,$J51:AC51)&lt;0.5,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IF(SUMPRODUCT($J$72:AF$72,$J51:AF51)&lt;0.5,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IF(SUMPRODUCT($J$72:AI$72,$J51:AI51)&lt;0.5,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IF(SUMPRODUCT($J$72:AL$72,$J51:AL51)&lt;0.5,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IF(SUMPRODUCT($J$72:AO$72,$J51:AO51)&lt;0.5,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IF(SUMPRODUCT($J$72:AR$72,$J51:AR51)&lt;0.5,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IF(SUMPRODUCT($J$72:AU$72,$J51:AU51)&lt;0.5,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IF(SUMPRODUCT($J$72:AX$72,$J51:AX51)&lt;0.5,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IF(SUMPRODUCT($J$72:BA$72,$J51:BA51)&lt;0.5,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IF(SUMPRODUCT($J$72:BD$72,$J51:BD51)&lt;0.5,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IF(SUMPRODUCT($J$72:BG$72,$J51:BG51)&lt;0.5,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IF(SUMPRODUCT($J$72:BJ$72,$J51:BJ51)&lt;0.5,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IF(SUMPRODUCT($J$72:BM$72,$J51:BM51)&lt;0.5,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IF(SUMPRODUCT($J$72:BP$72,$J51:BP51)&lt;0.5,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IF(SUMPRODUCT($J$72:BS$72,$J51:BS51)&lt;0.5,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IF(SUMPRODUCT($J$72:BV$72,$J51:BV51)&lt;0.5,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IF(SUMPRODUCT($J$72:BY$72,$J51:BY51)&lt;0.5,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IF(SUMPRODUCT($J$72:CB$72,$J51:CB51)&lt;0.5, "Pending", IF(CB51&lt;0.5, "Complete", "In Progress"))</f>
        <v>#REF!</v>
      </c>
      <c r="CD51" s="24"/>
      <c r="CE51" s="25">
        <f>SUMPRODUCT($H$72:AY$72,$H51:AY51)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e">
        <f t="shared" ca="1" si="0"/>
        <v>#REF!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IF(SUMPRODUCT($J$72:K$72,$J52:K52)&lt;0.5,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IF(SUMPRODUCT($J$72:N$72,$J52:N52)&lt;0.5,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IF(SUMPRODUCT($J$72:Q$72,$J52:Q52)&lt;0.5,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IF(SUMPRODUCT($J$72:T$72,$J52:T52)&lt;0.5,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IF(SUMPRODUCT($J$72:W$72,$J52:W52)&lt;0.5,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IF(SUMPRODUCT($J$72:Z$72,$J52:Z52)&lt;0.5,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IF(SUMPRODUCT($J$72:AC$72,$J52:AC52)&lt;0.5,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IF(SUMPRODUCT($J$72:AF$72,$J52:AF52)&lt;0.5,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IF(SUMPRODUCT($J$72:AI$72,$J52:AI52)&lt;0.5,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IF(SUMPRODUCT($J$72:AL$72,$J52:AL52)&lt;0.5,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IF(SUMPRODUCT($J$72:AO$72,$J52:AO52)&lt;0.5,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IF(SUMPRODUCT($J$72:AR$72,$J52:AR52)&lt;0.5,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IF(SUMPRODUCT($J$72:AU$72,$J52:AU52)&lt;0.5,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IF(SUMPRODUCT($J$72:AX$72,$J52:AX52)&lt;0.5,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IF(SUMPRODUCT($J$72:BA$72,$J52:BA52)&lt;0.5,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IF(SUMPRODUCT($J$72:BD$72,$J52:BD52)&lt;0.5,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IF(SUMPRODUCT($J$72:BG$72,$J52:BG52)&lt;0.5,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IF(SUMPRODUCT($J$72:BJ$72,$J52:BJ52)&lt;0.5,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IF(SUMPRODUCT($J$72:BM$72,$J52:BM52)&lt;0.5,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IF(SUMPRODUCT($J$72:BP$72,$J52:BP52)&lt;0.5,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IF(SUMPRODUCT($J$72:BS$72,$J52:BS52)&lt;0.5,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IF(SUMPRODUCT($J$72:BV$72,$J52:BV52)&lt;0.5,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IF(SUMPRODUCT($J$72:BY$72,$J52:BY52)&lt;0.5,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IF(SUMPRODUCT($J$72:CB$72,$J52:CB52)&lt;0.5, "Pending", IF(CB52&lt;0.5, "Complete", "In Progress"))</f>
        <v>#REF!</v>
      </c>
      <c r="CD52" s="24"/>
      <c r="CE52" s="25">
        <f>SUMPRODUCT($H$72:AY$72,$H52:AY52)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e">
        <f t="shared" ca="1" si="0"/>
        <v>#REF!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IF(SUMPRODUCT($J$72:K$72,$J53:K53)&lt;0.5,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IF(SUMPRODUCT($J$72:N$72,$J53:N53)&lt;0.5,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IF(SUMPRODUCT($J$72:Q$72,$J53:Q53)&lt;0.5,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IF(SUMPRODUCT($J$72:T$72,$J53:T53)&lt;0.5,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IF(SUMPRODUCT($J$72:W$72,$J53:W53)&lt;0.5,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IF(SUMPRODUCT($J$72:Z$72,$J53:Z53)&lt;0.5,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IF(SUMPRODUCT($J$72:AC$72,$J53:AC53)&lt;0.5,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IF(SUMPRODUCT($J$72:AF$72,$J53:AF53)&lt;0.5,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IF(SUMPRODUCT($J$72:AI$72,$J53:AI53)&lt;0.5,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IF(SUMPRODUCT($J$72:AL$72,$J53:AL53)&lt;0.5,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IF(SUMPRODUCT($J$72:AO$72,$J53:AO53)&lt;0.5,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IF(SUMPRODUCT($J$72:AR$72,$J53:AR53)&lt;0.5,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IF(SUMPRODUCT($J$72:AU$72,$J53:AU53)&lt;0.5,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IF(SUMPRODUCT($J$72:AX$72,$J53:AX53)&lt;0.5,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IF(SUMPRODUCT($J$72:BA$72,$J53:BA53)&lt;0.5,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IF(SUMPRODUCT($J$72:BD$72,$J53:BD53)&lt;0.5,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IF(SUMPRODUCT($J$72:BG$72,$J53:BG53)&lt;0.5,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IF(SUMPRODUCT($J$72:BJ$72,$J53:BJ53)&lt;0.5,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IF(SUMPRODUCT($J$72:BM$72,$J53:BM53)&lt;0.5,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IF(SUMPRODUCT($J$72:BP$72,$J53:BP53)&lt;0.5,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IF(SUMPRODUCT($J$72:BS$72,$J53:BS53)&lt;0.5,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IF(SUMPRODUCT($J$72:BV$72,$J53:BV53)&lt;0.5,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IF(SUMPRODUCT($J$72:BY$72,$J53:BY53)&lt;0.5,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IF(SUMPRODUCT($J$72:CB$72,$J53:CB53)&lt;0.5, "Pending", IF(CB53&lt;0.5, "Complete", "In Progress"))</f>
        <v>#REF!</v>
      </c>
      <c r="CD53" s="24"/>
      <c r="CE53" s="25">
        <f>SUMPRODUCT($H$72:AY$72,$H53:AY53)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e">
        <f t="shared" ca="1" si="0"/>
        <v>#REF!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IF(SUMPRODUCT($J$72:K$72,$J54:K54)&lt;0.5,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IF(SUMPRODUCT($J$72:N$72,$J54:N54)&lt;0.5,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IF(SUMPRODUCT($J$72:Q$72,$J54:Q54)&lt;0.5,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IF(SUMPRODUCT($J$72:T$72,$J54:T54)&lt;0.5,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IF(SUMPRODUCT($J$72:W$72,$J54:W54)&lt;0.5,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IF(SUMPRODUCT($J$72:Z$72,$J54:Z54)&lt;0.5,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IF(SUMPRODUCT($J$72:AC$72,$J54:AC54)&lt;0.5,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IF(SUMPRODUCT($J$72:AF$72,$J54:AF54)&lt;0.5,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IF(SUMPRODUCT($J$72:AI$72,$J54:AI54)&lt;0.5,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IF(SUMPRODUCT($J$72:AL$72,$J54:AL54)&lt;0.5,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IF(SUMPRODUCT($J$72:AO$72,$J54:AO54)&lt;0.5,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IF(SUMPRODUCT($J$72:AR$72,$J54:AR54)&lt;0.5,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IF(SUMPRODUCT($J$72:AU$72,$J54:AU54)&lt;0.5,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IF(SUMPRODUCT($J$72:AX$72,$J54:AX54)&lt;0.5,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IF(SUMPRODUCT($J$72:BA$72,$J54:BA54)&lt;0.5,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IF(SUMPRODUCT($J$72:BD$72,$J54:BD54)&lt;0.5,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IF(SUMPRODUCT($J$72:BG$72,$J54:BG54)&lt;0.5,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IF(SUMPRODUCT($J$72:BJ$72,$J54:BJ54)&lt;0.5,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IF(SUMPRODUCT($J$72:BM$72,$J54:BM54)&lt;0.5,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IF(SUMPRODUCT($J$72:BP$72,$J54:BP54)&lt;0.5,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IF(SUMPRODUCT($J$72:BS$72,$J54:BS54)&lt;0.5,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IF(SUMPRODUCT($J$72:BV$72,$J54:BV54)&lt;0.5,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IF(SUMPRODUCT($J$72:BY$72,$J54:BY54)&lt;0.5,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IF(SUMPRODUCT($J$72:CB$72,$J54:CB54)&lt;0.5, "Pending", IF(CB54&lt;0.5, "Complete", "In Progress"))</f>
        <v>#REF!</v>
      </c>
      <c r="CD54" s="24"/>
      <c r="CE54" s="25">
        <f>SUMPRODUCT($H$72:AY$72,$H54:AY54)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e">
        <f t="shared" ca="1" si="0"/>
        <v>#REF!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IF(SUMPRODUCT($J$72:K$72,$J55:K55)&lt;0.5,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IF(SUMPRODUCT($J$72:N$72,$J55:N55)&lt;0.5,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IF(SUMPRODUCT($J$72:Q$72,$J55:Q55)&lt;0.5,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IF(SUMPRODUCT($J$72:T$72,$J55:T55)&lt;0.5,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IF(SUMPRODUCT($J$72:W$72,$J55:W55)&lt;0.5,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IF(SUMPRODUCT($J$72:Z$72,$J55:Z55)&lt;0.5,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IF(SUMPRODUCT($J$72:AC$72,$J55:AC55)&lt;0.5,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IF(SUMPRODUCT($J$72:AF$72,$J55:AF55)&lt;0.5,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IF(SUMPRODUCT($J$72:AI$72,$J55:AI55)&lt;0.5,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IF(SUMPRODUCT($J$72:AL$72,$J55:AL55)&lt;0.5,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IF(SUMPRODUCT($J$72:AO$72,$J55:AO55)&lt;0.5,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IF(SUMPRODUCT($J$72:AR$72,$J55:AR55)&lt;0.5,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IF(SUMPRODUCT($J$72:AU$72,$J55:AU55)&lt;0.5,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IF(SUMPRODUCT($J$72:AX$72,$J55:AX55)&lt;0.5,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IF(SUMPRODUCT($J$72:BA$72,$J55:BA55)&lt;0.5,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IF(SUMPRODUCT($J$72:BD$72,$J55:BD55)&lt;0.5,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IF(SUMPRODUCT($J$72:BG$72,$J55:BG55)&lt;0.5,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IF(SUMPRODUCT($J$72:BJ$72,$J55:BJ55)&lt;0.5,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IF(SUMPRODUCT($J$72:BM$72,$J55:BM55)&lt;0.5,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IF(SUMPRODUCT($J$72:BP$72,$J55:BP55)&lt;0.5,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IF(SUMPRODUCT($J$72:BS$72,$J55:BS55)&lt;0.5,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IF(SUMPRODUCT($J$72:BV$72,$J55:BV55)&lt;0.5,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IF(SUMPRODUCT($J$72:BY$72,$J55:BY55)&lt;0.5,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IF(SUMPRODUCT($J$72:CB$72,$J55:CB55)&lt;0.5, "Pending", IF(CB55&lt;0.5, "Complete", "In Progress"))</f>
        <v>#REF!</v>
      </c>
      <c r="CD55" s="24"/>
      <c r="CE55" s="25">
        <f>SUMPRODUCT($H$72:AY$72,$H55:AY55)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e">
        <f t="shared" ca="1" si="0"/>
        <v>#REF!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IF(SUMPRODUCT($J$72:K$72,$J56:K56)&lt;0.5,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IF(SUMPRODUCT($J$72:N$72,$J56:N56)&lt;0.5,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IF(SUMPRODUCT($J$72:Q$72,$J56:Q56)&lt;0.5,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IF(SUMPRODUCT($J$72:T$72,$J56:T56)&lt;0.5,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IF(SUMPRODUCT($J$72:W$72,$J56:W56)&lt;0.5,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IF(SUMPRODUCT($J$72:Z$72,$J56:Z56)&lt;0.5,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IF(SUMPRODUCT($J$72:AC$72,$J56:AC56)&lt;0.5,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IF(SUMPRODUCT($J$72:AF$72,$J56:AF56)&lt;0.5,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IF(SUMPRODUCT($J$72:AI$72,$J56:AI56)&lt;0.5,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IF(SUMPRODUCT($J$72:AL$72,$J56:AL56)&lt;0.5,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IF(SUMPRODUCT($J$72:AO$72,$J56:AO56)&lt;0.5,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IF(SUMPRODUCT($J$72:AR$72,$J56:AR56)&lt;0.5,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IF(SUMPRODUCT($J$72:AU$72,$J56:AU56)&lt;0.5,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IF(SUMPRODUCT($J$72:AX$72,$J56:AX56)&lt;0.5,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IF(SUMPRODUCT($J$72:BA$72,$J56:BA56)&lt;0.5,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IF(SUMPRODUCT($J$72:BD$72,$J56:BD56)&lt;0.5,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IF(SUMPRODUCT($J$72:BG$72,$J56:BG56)&lt;0.5,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IF(SUMPRODUCT($J$72:BJ$72,$J56:BJ56)&lt;0.5,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IF(SUMPRODUCT($J$72:BM$72,$J56:BM56)&lt;0.5,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IF(SUMPRODUCT($J$72:BP$72,$J56:BP56)&lt;0.5,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IF(SUMPRODUCT($J$72:BS$72,$J56:BS56)&lt;0.5,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IF(SUMPRODUCT($J$72:BV$72,$J56:BV56)&lt;0.5,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IF(SUMPRODUCT($J$72:BY$72,$J56:BY56)&lt;0.5,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IF(SUMPRODUCT($J$72:CB$72,$J56:CB56)&lt;0.5, "Pending", IF(CB56&lt;0.5, "Complete", "In Progress"))</f>
        <v>#REF!</v>
      </c>
      <c r="CD56" s="24"/>
      <c r="CE56" s="25">
        <f>SUMPRODUCT($H$72:AY$72,$H56:AY56)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133</v>
      </c>
      <c r="G57" s="19" t="e">
        <f t="shared" ca="1" si="0"/>
        <v>#REF!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IF(SUMPRODUCT($J$72:K$72,$J57:K57)&lt;0.5,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IF(SUMPRODUCT($J$72:N$72,$J57:N57)&lt;0.5,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IF(SUMPRODUCT($J$72:Q$72,$J57:Q57)&lt;0.5,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IF(SUMPRODUCT($J$72:T$72,$J57:T57)&lt;0.5,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IF(SUMPRODUCT($J$72:W$72,$J57:W57)&lt;0.5,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IF(SUMPRODUCT($J$72:Z$72,$J57:Z57)&lt;0.5,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IF(SUMPRODUCT($J$72:AC$72,$J57:AC57)&lt;0.5,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IF(SUMPRODUCT($J$72:AF$72,$J57:AF57)&lt;0.5,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IF(SUMPRODUCT($J$72:AI$72,$J57:AI57)&lt;0.5,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IF(SUMPRODUCT($J$72:AL$72,$J57:AL57)&lt;0.5,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IF(SUMPRODUCT($J$72:AO$72,$J57:AO57)&lt;0.5,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IF(SUMPRODUCT($J$72:AR$72,$J57:AR57)&lt;0.5,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IF(SUMPRODUCT($J$72:AU$72,$J57:AU57)&lt;0.5,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IF(SUMPRODUCT($J$72:AX$72,$J57:AX57)&lt;0.5,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IF(SUMPRODUCT($J$72:BA$72,$J57:BA57)&lt;0.5,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IF(SUMPRODUCT($J$72:BD$72,$J57:BD57)&lt;0.5,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IF(SUMPRODUCT($J$72:BG$72,$J57:BG57)&lt;0.5,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IF(SUMPRODUCT($J$72:BJ$72,$J57:BJ57)&lt;0.5,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IF(SUMPRODUCT($J$72:BM$72,$J57:BM57)&lt;0.5,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IF(SUMPRODUCT($J$72:BP$72,$J57:BP57)&lt;0.5,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IF(SUMPRODUCT($J$72:BS$72,$J57:BS57)&lt;0.5,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IF(SUMPRODUCT($J$72:BV$72,$J57:BV57)&lt;0.5,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IF(SUMPRODUCT($J$72:BY$72,$J57:BY57)&lt;0.5,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IF(SUMPRODUCT($J$72:CB$72,$J57:CB57)&lt;0.5, "Pending", IF(CB57&lt;0.5, "Complete", "In Progress"))</f>
        <v>#REF!</v>
      </c>
      <c r="CD57" s="24"/>
      <c r="CE57" s="25">
        <f>SUMPRODUCT($H$72:AY$72,$H57:AY57)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133</v>
      </c>
      <c r="G58" s="19" t="e">
        <f t="shared" ca="1" si="0"/>
        <v>#REF!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IF(SUMPRODUCT($J$72:K$72,$J58:K58)&lt;0.5,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IF(SUMPRODUCT($J$72:N$72,$J58:N58)&lt;0.5,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IF(SUMPRODUCT($J$72:Q$72,$J58:Q58)&lt;0.5,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IF(SUMPRODUCT($J$72:T$72,$J58:T58)&lt;0.5,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IF(SUMPRODUCT($J$72:W$72,$J58:W58)&lt;0.5,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IF(SUMPRODUCT($J$72:Z$72,$J58:Z58)&lt;0.5,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IF(SUMPRODUCT($J$72:AC$72,$J58:AC58)&lt;0.5,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IF(SUMPRODUCT($J$72:AF$72,$J58:AF58)&lt;0.5,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IF(SUMPRODUCT($J$72:AI$72,$J58:AI58)&lt;0.5,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IF(SUMPRODUCT($J$72:AL$72,$J58:AL58)&lt;0.5,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IF(SUMPRODUCT($J$72:AO$72,$J58:AO58)&lt;0.5,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IF(SUMPRODUCT($J$72:AR$72,$J58:AR58)&lt;0.5,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IF(SUMPRODUCT($J$72:AU$72,$J58:AU58)&lt;0.5,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IF(SUMPRODUCT($J$72:AX$72,$J58:AX58)&lt;0.5,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IF(SUMPRODUCT($J$72:BA$72,$J58:BA58)&lt;0.5,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IF(SUMPRODUCT($J$72:BD$72,$J58:BD58)&lt;0.5,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IF(SUMPRODUCT($J$72:BG$72,$J58:BG58)&lt;0.5,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IF(SUMPRODUCT($J$72:BJ$72,$J58:BJ58)&lt;0.5,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IF(SUMPRODUCT($J$72:BM$72,$J58:BM58)&lt;0.5,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IF(SUMPRODUCT($J$72:BP$72,$J58:BP58)&lt;0.5,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IF(SUMPRODUCT($J$72:BS$72,$J58:BS58)&lt;0.5,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IF(SUMPRODUCT($J$72:BV$72,$J58:BV58)&lt;0.5,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IF(SUMPRODUCT($J$72:BY$72,$J58:BY58)&lt;0.5,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IF(SUMPRODUCT($J$72:CB$72,$J58:CB58)&lt;0.5, "Pending", IF(CB58&lt;0.5, "Complete", "In Progress"))</f>
        <v>#REF!</v>
      </c>
      <c r="CD58" s="24"/>
      <c r="CE58" s="25">
        <f>SUMPRODUCT($H$72:AY$72,$H58:AY58)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133</v>
      </c>
      <c r="G59" s="19" t="e">
        <f t="shared" ca="1" si="0"/>
        <v>#REF!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IF(SUMPRODUCT($J$72:K$72,$J59:K59)&lt;0.5,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IF(SUMPRODUCT($J$72:N$72,$J59:N59)&lt;0.5,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IF(SUMPRODUCT($J$72:Q$72,$J59:Q59)&lt;0.5,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IF(SUMPRODUCT($J$72:T$72,$J59:T59)&lt;0.5,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IF(SUMPRODUCT($J$72:W$72,$J59:W59)&lt;0.5,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IF(SUMPRODUCT($J$72:Z$72,$J59:Z59)&lt;0.5,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IF(SUMPRODUCT($J$72:AC$72,$J59:AC59)&lt;0.5,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IF(SUMPRODUCT($J$72:AF$72,$J59:AF59)&lt;0.5,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IF(SUMPRODUCT($J$72:AI$72,$J59:AI59)&lt;0.5,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IF(SUMPRODUCT($J$72:AL$72,$J59:AL59)&lt;0.5,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IF(SUMPRODUCT($J$72:AO$72,$J59:AO59)&lt;0.5,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IF(SUMPRODUCT($J$72:AR$72,$J59:AR59)&lt;0.5,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IF(SUMPRODUCT($J$72:AU$72,$J59:AU59)&lt;0.5,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IF(SUMPRODUCT($J$72:AX$72,$J59:AX59)&lt;0.5,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IF(SUMPRODUCT($J$72:BA$72,$J59:BA59)&lt;0.5,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IF(SUMPRODUCT($J$72:BD$72,$J59:BD59)&lt;0.5,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IF(SUMPRODUCT($J$72:BG$72,$J59:BG59)&lt;0.5,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IF(SUMPRODUCT($J$72:BJ$72,$J59:BJ59)&lt;0.5,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IF(SUMPRODUCT($J$72:BM$72,$J59:BM59)&lt;0.5,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IF(SUMPRODUCT($J$72:BP$72,$J59:BP59)&lt;0.5,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IF(SUMPRODUCT($J$72:BS$72,$J59:BS59)&lt;0.5,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IF(SUMPRODUCT($J$72:BV$72,$J59:BV59)&lt;0.5,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IF(SUMPRODUCT($J$72:BY$72,$J59:BY59)&lt;0.5,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IF(SUMPRODUCT($J$72:CB$72,$J59:CB59)&lt;0.5, "Pending", IF(CB59&lt;0.5, "Complete", "In Progress"))</f>
        <v>#REF!</v>
      </c>
      <c r="CD59" s="24"/>
      <c r="CE59" s="25">
        <f>SUMPRODUCT($H$72:AY$72,$H59:AY59)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133</v>
      </c>
      <c r="G60" s="19" t="e">
        <f t="shared" ca="1" si="0"/>
        <v>#REF!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IF(SUMPRODUCT($J$72:K$72,$J60:K60)&lt;0.5,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IF(SUMPRODUCT($J$72:N$72,$J60:N60)&lt;0.5,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IF(SUMPRODUCT($J$72:Q$72,$J60:Q60)&lt;0.5,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IF(SUMPRODUCT($J$72:T$72,$J60:T60)&lt;0.5,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IF(SUMPRODUCT($J$72:W$72,$J60:W60)&lt;0.5,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IF(SUMPRODUCT($J$72:Z$72,$J60:Z60)&lt;0.5,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IF(SUMPRODUCT($J$72:AC$72,$J60:AC60)&lt;0.5,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IF(SUMPRODUCT($J$72:AF$72,$J60:AF60)&lt;0.5,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IF(SUMPRODUCT($J$72:AI$72,$J60:AI60)&lt;0.5,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IF(SUMPRODUCT($J$72:AL$72,$J60:AL60)&lt;0.5,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IF(SUMPRODUCT($J$72:AO$72,$J60:AO60)&lt;0.5,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IF(SUMPRODUCT($J$72:AR$72,$J60:AR60)&lt;0.5,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IF(SUMPRODUCT($J$72:AU$72,$J60:AU60)&lt;0.5,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IF(SUMPRODUCT($J$72:AX$72,$J60:AX60)&lt;0.5,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IF(SUMPRODUCT($J$72:BA$72,$J60:BA60)&lt;0.5,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IF(SUMPRODUCT($J$72:BD$72,$J60:BD60)&lt;0.5,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IF(SUMPRODUCT($J$72:BG$72,$J60:BG60)&lt;0.5,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IF(SUMPRODUCT($J$72:BJ$72,$J60:BJ60)&lt;0.5,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IF(SUMPRODUCT($J$72:BM$72,$J60:BM60)&lt;0.5,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IF(SUMPRODUCT($J$72:BP$72,$J60:BP60)&lt;0.5,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IF(SUMPRODUCT($J$72:BS$72,$J60:BS60)&lt;0.5,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IF(SUMPRODUCT($J$72:BV$72,$J60:BV60)&lt;0.5,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IF(SUMPRODUCT($J$72:BY$72,$J60:BY60)&lt;0.5,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IF(SUMPRODUCT($J$72:CB$72,$J60:CB60)&lt;0.5, "Pending", IF(CB60&lt;0.5, "Complete", "In Progress"))</f>
        <v>#REF!</v>
      </c>
      <c r="CD60" s="24"/>
      <c r="CE60" s="25">
        <f>SUMPRODUCT($H$72:AY$72,$H60:AY60)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133</v>
      </c>
      <c r="G61" s="19" t="e">
        <f t="shared" ca="1" si="0"/>
        <v>#REF!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IF(SUMPRODUCT($J$72:K$72,$J61:K61)&lt;0.5,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IF(SUMPRODUCT($J$72:N$72,$J61:N61)&lt;0.5,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IF(SUMPRODUCT($J$72:Q$72,$J61:Q61)&lt;0.5,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IF(SUMPRODUCT($J$72:T$72,$J61:T61)&lt;0.5,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IF(SUMPRODUCT($J$72:W$72,$J61:W61)&lt;0.5,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IF(SUMPRODUCT($J$72:Z$72,$J61:Z61)&lt;0.5,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IF(SUMPRODUCT($J$72:AC$72,$J61:AC61)&lt;0.5,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IF(SUMPRODUCT($J$72:AF$72,$J61:AF61)&lt;0.5,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IF(SUMPRODUCT($J$72:AI$72,$J61:AI61)&lt;0.5,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IF(SUMPRODUCT($J$72:AL$72,$J61:AL61)&lt;0.5,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IF(SUMPRODUCT($J$72:AO$72,$J61:AO61)&lt;0.5,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IF(SUMPRODUCT($J$72:AR$72,$J61:AR61)&lt;0.5,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IF(SUMPRODUCT($J$72:AU$72,$J61:AU61)&lt;0.5,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IF(SUMPRODUCT($J$72:AX$72,$J61:AX61)&lt;0.5,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IF(SUMPRODUCT($J$72:BA$72,$J61:BA61)&lt;0.5,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IF(SUMPRODUCT($J$72:BD$72,$J61:BD61)&lt;0.5,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IF(SUMPRODUCT($J$72:BG$72,$J61:BG61)&lt;0.5,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IF(SUMPRODUCT($J$72:BJ$72,$J61:BJ61)&lt;0.5,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IF(SUMPRODUCT($J$72:BM$72,$J61:BM61)&lt;0.5,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IF(SUMPRODUCT($J$72:BP$72,$J61:BP61)&lt;0.5,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IF(SUMPRODUCT($J$72:BS$72,$J61:BS61)&lt;0.5,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IF(SUMPRODUCT($J$72:BV$72,$J61:BV61)&lt;0.5,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IF(SUMPRODUCT($J$72:BY$72,$J61:BY61)&lt;0.5,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IF(SUMPRODUCT($J$72:CB$72,$J61:CB61)&lt;0.5, "Pending", IF(CB61&lt;0.5, "Complete", "In Progress"))</f>
        <v>#REF!</v>
      </c>
      <c r="CD61" s="24"/>
      <c r="CE61" s="25">
        <f>SUMPRODUCT($H$72:AY$72,$H61:AY61)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133</v>
      </c>
      <c r="G62" s="19" t="e">
        <f t="shared" ca="1" si="0"/>
        <v>#REF!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IF(SUMPRODUCT($J$72:K$72,$J62:K62)&lt;0.5,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IF(SUMPRODUCT($J$72:N$72,$J62:N62)&lt;0.5,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IF(SUMPRODUCT($J$72:Q$72,$J62:Q62)&lt;0.5,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IF(SUMPRODUCT($J$72:T$72,$J62:T62)&lt;0.5,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IF(SUMPRODUCT($J$72:W$72,$J62:W62)&lt;0.5,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IF(SUMPRODUCT($J$72:Z$72,$J62:Z62)&lt;0.5,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IF(SUMPRODUCT($J$72:AC$72,$J62:AC62)&lt;0.5,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IF(SUMPRODUCT($J$72:AF$72,$J62:AF62)&lt;0.5,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IF(SUMPRODUCT($J$72:AI$72,$J62:AI62)&lt;0.5,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IF(SUMPRODUCT($J$72:AL$72,$J62:AL62)&lt;0.5,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IF(SUMPRODUCT($J$72:AO$72,$J62:AO62)&lt;0.5,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IF(SUMPRODUCT($J$72:AR$72,$J62:AR62)&lt;0.5,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IF(SUMPRODUCT($J$72:AU$72,$J62:AU62)&lt;0.5,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IF(SUMPRODUCT($J$72:AX$72,$J62:AX62)&lt;0.5,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IF(SUMPRODUCT($J$72:BA$72,$J62:BA62)&lt;0.5,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IF(SUMPRODUCT($J$72:BD$72,$J62:BD62)&lt;0.5,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IF(SUMPRODUCT($J$72:BG$72,$J62:BG62)&lt;0.5,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IF(SUMPRODUCT($J$72:BJ$72,$J62:BJ62)&lt;0.5,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IF(SUMPRODUCT($J$72:BM$72,$J62:BM62)&lt;0.5,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IF(SUMPRODUCT($J$72:BP$72,$J62:BP62)&lt;0.5,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IF(SUMPRODUCT($J$72:BS$72,$J62:BS62)&lt;0.5,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IF(SUMPRODUCT($J$72:BV$72,$J62:BV62)&lt;0.5,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IF(SUMPRODUCT($J$72:BY$72,$J62:BY62)&lt;0.5,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IF(SUMPRODUCT($J$72:CB$72,$J62:CB62)&lt;0.5, "Pending", IF(CB62&lt;0.5, "Complete", "In Progress"))</f>
        <v>#REF!</v>
      </c>
      <c r="CD62" s="24"/>
      <c r="CE62" s="25">
        <f>SUMPRODUCT($H$72:AY$72,$H62:AY62)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133</v>
      </c>
      <c r="G63" s="19" t="e">
        <f t="shared" ca="1" si="0"/>
        <v>#REF!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IF(SUMPRODUCT($J$72:K$72,$J63:K63)&lt;0.5,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IF(SUMPRODUCT($J$72:N$72,$J63:N63)&lt;0.5,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IF(SUMPRODUCT($J$72:Q$72,$J63:Q63)&lt;0.5,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IF(SUMPRODUCT($J$72:T$72,$J63:T63)&lt;0.5,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IF(SUMPRODUCT($J$72:W$72,$J63:W63)&lt;0.5,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IF(SUMPRODUCT($J$72:Z$72,$J63:Z63)&lt;0.5,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IF(SUMPRODUCT($J$72:AC$72,$J63:AC63)&lt;0.5,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IF(SUMPRODUCT($J$72:AF$72,$J63:AF63)&lt;0.5,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IF(SUMPRODUCT($J$72:AI$72,$J63:AI63)&lt;0.5,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IF(SUMPRODUCT($J$72:AL$72,$J63:AL63)&lt;0.5,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IF(SUMPRODUCT($J$72:AO$72,$J63:AO63)&lt;0.5,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IF(SUMPRODUCT($J$72:AR$72,$J63:AR63)&lt;0.5,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IF(SUMPRODUCT($J$72:AU$72,$J63:AU63)&lt;0.5,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IF(SUMPRODUCT($J$72:AX$72,$J63:AX63)&lt;0.5,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IF(SUMPRODUCT($J$72:BA$72,$J63:BA63)&lt;0.5,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IF(SUMPRODUCT($J$72:BD$72,$J63:BD63)&lt;0.5,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IF(SUMPRODUCT($J$72:BG$72,$J63:BG63)&lt;0.5,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IF(SUMPRODUCT($J$72:BJ$72,$J63:BJ63)&lt;0.5,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IF(SUMPRODUCT($J$72:BM$72,$J63:BM63)&lt;0.5,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IF(SUMPRODUCT($J$72:BP$72,$J63:BP63)&lt;0.5,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IF(SUMPRODUCT($J$72:BS$72,$J63:BS63)&lt;0.5,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IF(SUMPRODUCT($J$72:BV$72,$J63:BV63)&lt;0.5,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IF(SUMPRODUCT($J$72:BY$72,$J63:BY63)&lt;0.5,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IF(SUMPRODUCT($J$72:CB$72,$J63:CB63)&lt;0.5, "Pending", IF(CB63&lt;0.5, "Complete", "In Progress"))</f>
        <v>#REF!</v>
      </c>
      <c r="CD63" s="24"/>
      <c r="CE63" s="25">
        <f>SUMPRODUCT($H$72:AY$72,$H63:AY63)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133</v>
      </c>
      <c r="G64" s="19" t="e">
        <f t="shared" ca="1" si="0"/>
        <v>#REF!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IF(SUMPRODUCT($J$72:K$72,$J64:K64)&lt;0.5,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IF(SUMPRODUCT($J$72:N$72,$J64:N64)&lt;0.5,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IF(SUMPRODUCT($J$72:Q$72,$J64:Q64)&lt;0.5,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IF(SUMPRODUCT($J$72:T$72,$J64:T64)&lt;0.5,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IF(SUMPRODUCT($J$72:W$72,$J64:W64)&lt;0.5,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IF(SUMPRODUCT($J$72:Z$72,$J64:Z64)&lt;0.5,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IF(SUMPRODUCT($J$72:AC$72,$J64:AC64)&lt;0.5,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IF(SUMPRODUCT($J$72:AF$72,$J64:AF64)&lt;0.5,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IF(SUMPRODUCT($J$72:AI$72,$J64:AI64)&lt;0.5,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IF(SUMPRODUCT($J$72:AL$72,$J64:AL64)&lt;0.5,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IF(SUMPRODUCT($J$72:AO$72,$J64:AO64)&lt;0.5,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IF(SUMPRODUCT($J$72:AR$72,$J64:AR64)&lt;0.5,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IF(SUMPRODUCT($J$72:AU$72,$J64:AU64)&lt;0.5,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IF(SUMPRODUCT($J$72:AX$72,$J64:AX64)&lt;0.5,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IF(SUMPRODUCT($J$72:BA$72,$J64:BA64)&lt;0.5,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IF(SUMPRODUCT($J$72:BD$72,$J64:BD64)&lt;0.5,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IF(SUMPRODUCT($J$72:BG$72,$J64:BG64)&lt;0.5,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IF(SUMPRODUCT($J$72:BJ$72,$J64:BJ64)&lt;0.5,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IF(SUMPRODUCT($J$72:BM$72,$J64:BM64)&lt;0.5,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IF(SUMPRODUCT($J$72:BP$72,$J64:BP64)&lt;0.5,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IF(SUMPRODUCT($J$72:BS$72,$J64:BS64)&lt;0.5,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IF(SUMPRODUCT($J$72:BV$72,$J64:BV64)&lt;0.5,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IF(SUMPRODUCT($J$72:BY$72,$J64:BY64)&lt;0.5,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IF(SUMPRODUCT($J$72:CB$72,$J64:CB64)&lt;0.5, "Pending", IF(CB64&lt;0.5, "Complete", "In Progress"))</f>
        <v>#REF!</v>
      </c>
      <c r="CD64" s="24"/>
      <c r="CE64" s="25">
        <f>SUMPRODUCT($H$72:AY$72,$H64:AY64)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133</v>
      </c>
      <c r="G65" s="19" t="e">
        <f t="shared" ca="1" si="0"/>
        <v>#REF!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IF(SUMPRODUCT($J$72:K$72,$J65:K65)&lt;0.5,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IF(SUMPRODUCT($J$72:N$72,$J65:N65)&lt;0.5,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IF(SUMPRODUCT($J$72:Q$72,$J65:Q65)&lt;0.5,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IF(SUMPRODUCT($J$72:T$72,$J65:T65)&lt;0.5,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IF(SUMPRODUCT($J$72:W$72,$J65:W65)&lt;0.5,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IF(SUMPRODUCT($J$72:Z$72,$J65:Z65)&lt;0.5,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IF(SUMPRODUCT($J$72:AC$72,$J65:AC65)&lt;0.5,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IF(SUMPRODUCT($J$72:AF$72,$J65:AF65)&lt;0.5,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IF(SUMPRODUCT($J$72:AI$72,$J65:AI65)&lt;0.5,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IF(SUMPRODUCT($J$72:AL$72,$J65:AL65)&lt;0.5,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IF(SUMPRODUCT($J$72:AO$72,$J65:AO65)&lt;0.5,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IF(SUMPRODUCT($J$72:AR$72,$J65:AR65)&lt;0.5,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IF(SUMPRODUCT($J$72:AU$72,$J65:AU65)&lt;0.5,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IF(SUMPRODUCT($J$72:AX$72,$J65:AX65)&lt;0.5,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IF(SUMPRODUCT($J$72:BA$72,$J65:BA65)&lt;0.5,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IF(SUMPRODUCT($J$72:BD$72,$J65:BD65)&lt;0.5,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IF(SUMPRODUCT($J$72:BG$72,$J65:BG65)&lt;0.5,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IF(SUMPRODUCT($J$72:BJ$72,$J65:BJ65)&lt;0.5,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IF(SUMPRODUCT($J$72:BM$72,$J65:BM65)&lt;0.5,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IF(SUMPRODUCT($J$72:BP$72,$J65:BP65)&lt;0.5,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IF(SUMPRODUCT($J$72:BS$72,$J65:BS65)&lt;0.5,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IF(SUMPRODUCT($J$72:BV$72,$J65:BV65)&lt;0.5,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IF(SUMPRODUCT($J$72:BY$72,$J65:BY65)&lt;0.5,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IF(SUMPRODUCT($J$72:CB$72,$J65:CB65)&lt;0.5, "Pending", IF(CB65&lt;0.5, "Complete", "In Progress"))</f>
        <v>#REF!</v>
      </c>
      <c r="CD65" s="24"/>
      <c r="CE65" s="25">
        <f>SUMPRODUCT($H$72:AY$72,$H65:AY65)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133</v>
      </c>
      <c r="G66" s="19" t="e">
        <f t="shared" ca="1" si="0"/>
        <v>#REF!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IF(SUMPRODUCT($J$72:K$72,$J66:K66)&lt;0.5,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IF(SUMPRODUCT($J$72:N$72,$J66:N66)&lt;0.5,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IF(SUMPRODUCT($J$72:Q$72,$J66:Q66)&lt;0.5,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IF(SUMPRODUCT($J$72:T$72,$J66:T66)&lt;0.5,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IF(SUMPRODUCT($J$72:W$72,$J66:W66)&lt;0.5,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IF(SUMPRODUCT($J$72:Z$72,$J66:Z66)&lt;0.5,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IF(SUMPRODUCT($J$72:AC$72,$J66:AC66)&lt;0.5,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IF(SUMPRODUCT($J$72:AF$72,$J66:AF66)&lt;0.5,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IF(SUMPRODUCT($J$72:AI$72,$J66:AI66)&lt;0.5,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IF(SUMPRODUCT($J$72:AL$72,$J66:AL66)&lt;0.5,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IF(SUMPRODUCT($J$72:AO$72,$J66:AO66)&lt;0.5,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IF(SUMPRODUCT($J$72:AR$72,$J66:AR66)&lt;0.5,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IF(SUMPRODUCT($J$72:AU$72,$J66:AU66)&lt;0.5,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IF(SUMPRODUCT($J$72:AX$72,$J66:AX66)&lt;0.5,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IF(SUMPRODUCT($J$72:BA$72,$J66:BA66)&lt;0.5,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IF(SUMPRODUCT($J$72:BD$72,$J66:BD66)&lt;0.5,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IF(SUMPRODUCT($J$72:BG$72,$J66:BG66)&lt;0.5,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IF(SUMPRODUCT($J$72:BJ$72,$J66:BJ66)&lt;0.5,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IF(SUMPRODUCT($J$72:BM$72,$J66:BM66)&lt;0.5,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IF(SUMPRODUCT($J$72:BP$72,$J66:BP66)&lt;0.5,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IF(SUMPRODUCT($J$72:BS$72,$J66:BS66)&lt;0.5,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IF(SUMPRODUCT($J$72:BV$72,$J66:BV66)&lt;0.5,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IF(SUMPRODUCT($J$72:BY$72,$J66:BY66)&lt;0.5,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IF(SUMPRODUCT($J$72:CB$72,$J66:CB66)&lt;0.5, "Pending", IF(CB66&lt;0.5, "Complete", "In Progress"))</f>
        <v>#REF!</v>
      </c>
      <c r="CD66" s="24"/>
      <c r="CE66" s="25">
        <f>SUMPRODUCT($H$72:AY$72,$H66:AY66)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133</v>
      </c>
      <c r="G67" s="19" t="e">
        <f t="shared" ca="1" si="0"/>
        <v>#REF!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IF(SUMPRODUCT($J$72:K$72,$J67:K67)&lt;0.5,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IF(SUMPRODUCT($J$72:N$72,$J67:N67)&lt;0.5,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IF(SUMPRODUCT($J$72:Q$72,$J67:Q67)&lt;0.5,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IF(SUMPRODUCT($J$72:T$72,$J67:T67)&lt;0.5,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IF(SUMPRODUCT($J$72:W$72,$J67:W67)&lt;0.5,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IF(SUMPRODUCT($J$72:Z$72,$J67:Z67)&lt;0.5,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IF(SUMPRODUCT($J$72:AC$72,$J67:AC67)&lt;0.5,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IF(SUMPRODUCT($J$72:AF$72,$J67:AF67)&lt;0.5,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IF(SUMPRODUCT($J$72:AI$72,$J67:AI67)&lt;0.5,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IF(SUMPRODUCT($J$72:AL$72,$J67:AL67)&lt;0.5,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IF(SUMPRODUCT($J$72:AO$72,$J67:AO67)&lt;0.5,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IF(SUMPRODUCT($J$72:AR$72,$J67:AR67)&lt;0.5,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IF(SUMPRODUCT($J$72:AU$72,$J67:AU67)&lt;0.5,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IF(SUMPRODUCT($J$72:AX$72,$J67:AX67)&lt;0.5,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IF(SUMPRODUCT($J$72:BA$72,$J67:BA67)&lt;0.5,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IF(SUMPRODUCT($J$72:BD$72,$J67:BD67)&lt;0.5,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IF(SUMPRODUCT($J$72:BG$72,$J67:BG67)&lt;0.5,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IF(SUMPRODUCT($J$72:BJ$72,$J67:BJ67)&lt;0.5,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IF(SUMPRODUCT($J$72:BM$72,$J67:BM67)&lt;0.5,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IF(SUMPRODUCT($J$72:BP$72,$J67:BP67)&lt;0.5,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IF(SUMPRODUCT($J$72:BS$72,$J67:BS67)&lt;0.5,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IF(SUMPRODUCT($J$72:BV$72,$J67:BV67)&lt;0.5,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IF(SUMPRODUCT($J$72:BY$72,$J67:BY67)&lt;0.5,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IF(SUMPRODUCT($J$72:CB$72,$J67:CB67)&lt;0.5, "Pending", IF(CB67&lt;0.5, "Complete", "In Progress"))</f>
        <v>#REF!</v>
      </c>
      <c r="CD67" s="24"/>
      <c r="CE67" s="25">
        <f>SUMPRODUCT($H$72:AY$72,$H67:AY67)</f>
        <v>0</v>
      </c>
    </row>
    <row r="68" spans="1:83" x14ac:dyDescent="0.2">
      <c r="A68" s="16"/>
      <c r="B68" s="16"/>
      <c r="C68" s="16"/>
      <c r="D68" s="17"/>
      <c r="E68" s="178"/>
      <c r="F68" s="18" t="s">
        <v>133</v>
      </c>
      <c r="G68" s="19" t="e">
        <f t="shared" ca="1" si="0"/>
        <v>#REF!</v>
      </c>
      <c r="H68" s="20">
        <v>1</v>
      </c>
      <c r="I68" s="21">
        <v>0</v>
      </c>
      <c r="J68" s="22">
        <v>0</v>
      </c>
      <c r="K68" s="22">
        <f t="shared" si="24"/>
        <v>0</v>
      </c>
      <c r="L68" s="23" t="str">
        <f>IF(SUMPRODUCT($J$72:K$72,$J68:K68)&lt;0.5, "Pending", IF(K68&lt;0.5, "Complete", "In Progress"))</f>
        <v>Pending</v>
      </c>
      <c r="M68" s="22">
        <v>0</v>
      </c>
      <c r="N68" s="22">
        <f t="shared" si="25"/>
        <v>0</v>
      </c>
      <c r="O68" s="23" t="str">
        <f>IF(SUMPRODUCT($J$72:N$72,$J68:N68)&lt;0.5, "Pending", IF(N68&lt;0.5, "Complete", "In Progress"))</f>
        <v>Pending</v>
      </c>
      <c r="P68" s="22">
        <v>0</v>
      </c>
      <c r="Q68" s="22">
        <f t="shared" si="26"/>
        <v>0</v>
      </c>
      <c r="R68" s="23" t="str">
        <f>IF(SUMPRODUCT($J$72:Q$72,$J68:Q68)&lt;0.5, "Pending", IF(Q68&lt;0.5, "Complete", "In Progress"))</f>
        <v>Pending</v>
      </c>
      <c r="S68" s="22">
        <v>0</v>
      </c>
      <c r="T68" s="22">
        <f t="shared" si="27"/>
        <v>0</v>
      </c>
      <c r="U68" s="23" t="str">
        <f>IF(SUMPRODUCT($J$72:T$72,$J68:T68)&lt;0.5, "Pending", IF(T68&lt;0.5, "Complete", "In Progress"))</f>
        <v>Pending</v>
      </c>
      <c r="V68" s="22">
        <v>0</v>
      </c>
      <c r="W68" s="22">
        <f t="shared" si="28"/>
        <v>0</v>
      </c>
      <c r="X68" s="23" t="str">
        <f>IF(SUMPRODUCT($J$72:W$72,$J68:W68)&lt;0.5, "Pending", IF(W68&lt;0.5, "Complete", "In Progress"))</f>
        <v>Pending</v>
      </c>
      <c r="Y68" s="22">
        <v>0</v>
      </c>
      <c r="Z68" s="22">
        <f t="shared" si="29"/>
        <v>0</v>
      </c>
      <c r="AA68" s="23" t="str">
        <f>IF(SUMPRODUCT($J$72:Z$72,$J68:Z68)&lt;0.5, "Pending", IF(Z68&lt;0.5, "Complete", "In Progress"))</f>
        <v>Pending</v>
      </c>
      <c r="AB68" s="22">
        <v>0</v>
      </c>
      <c r="AC68" s="22">
        <f t="shared" si="30"/>
        <v>0</v>
      </c>
      <c r="AD68" s="23" t="str">
        <f>IF(SUMPRODUCT($J$72:AC$72,$J68:AC68)&lt;0.5, "Pending", IF(AC68&lt;0.5, "Complete", "In Progress"))</f>
        <v>Pending</v>
      </c>
      <c r="AE68" s="22">
        <v>0</v>
      </c>
      <c r="AF68" s="22">
        <f t="shared" si="31"/>
        <v>0</v>
      </c>
      <c r="AG68" s="23" t="str">
        <f>IF(SUMPRODUCT($J$72:AF$72,$J68:AF68)&lt;0.5, "Pending", IF(AF68&lt;0.5, "Complete", "In Progress"))</f>
        <v>Pending</v>
      </c>
      <c r="AH68" s="22">
        <v>0</v>
      </c>
      <c r="AI68" s="22">
        <f t="shared" si="32"/>
        <v>0</v>
      </c>
      <c r="AJ68" s="23" t="str">
        <f>IF(SUMPRODUCT($J$72:AI$72,$J68:AI68)&lt;0.5, "Pending", IF(AI68&lt;0.5, "Complete", "In Progress"))</f>
        <v>Pending</v>
      </c>
      <c r="AK68" s="22">
        <v>0</v>
      </c>
      <c r="AL68" s="22">
        <f t="shared" si="33"/>
        <v>0</v>
      </c>
      <c r="AM68" s="23" t="str">
        <f>IF(SUMPRODUCT($J$72:AL$72,$J68:AL68)&lt;0.5, "Pending", IF(AL68&lt;0.5, "Complete", "In Progress"))</f>
        <v>Pending</v>
      </c>
      <c r="AN68" s="22">
        <v>0</v>
      </c>
      <c r="AO68" s="22">
        <f t="shared" si="34"/>
        <v>0</v>
      </c>
      <c r="AP68" s="23" t="str">
        <f>IF(SUMPRODUCT($J$72:AO$72,$J68:AO68)&lt;0.5, "Pending", IF(AO68&lt;0.5, "Complete", "In Progress"))</f>
        <v>Pending</v>
      </c>
      <c r="AQ68" s="22">
        <v>0</v>
      </c>
      <c r="AR68" s="22">
        <f t="shared" si="35"/>
        <v>0</v>
      </c>
      <c r="AS68" s="23" t="str">
        <f>IF(SUMPRODUCT($J$72:AR$72,$J68:AR68)&lt;0.5, "Pending", IF(AR68&lt;0.5, "Complete", "In Progress"))</f>
        <v>Pending</v>
      </c>
      <c r="AT68" s="22">
        <v>0</v>
      </c>
      <c r="AU68" s="22">
        <f t="shared" si="36"/>
        <v>0</v>
      </c>
      <c r="AV68" s="23" t="str">
        <f>IF(SUMPRODUCT($J$72:AU$72,$J68:AU68)&lt;0.5, "Pending", IF(AU68&lt;0.5, "Complete", "In Progress"))</f>
        <v>Pending</v>
      </c>
      <c r="AW68" s="22">
        <v>0</v>
      </c>
      <c r="AX68" s="22">
        <f t="shared" si="37"/>
        <v>0</v>
      </c>
      <c r="AY68" s="23" t="str">
        <f>IF(SUMPRODUCT($J$72:AX$72,$J68:AX68)&lt;0.5,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IF(SUMPRODUCT($J$72:BA$72,$J68:BA68)&lt;0.5, "Pending", IF(BA68&lt;0.5, "Complete", "In Progress"))</f>
        <v>#REF!</v>
      </c>
      <c r="BC68" s="22">
        <v>0</v>
      </c>
      <c r="BD68" s="22" t="e">
        <f t="shared" si="38"/>
        <v>#REF!</v>
      </c>
      <c r="BE68" s="23" t="e">
        <f>IF(SUMPRODUCT($J$72:BD$72,$J68:BD68)&lt;0.5, "Pending", IF(BD68&lt;0.5, "Complete", "In Progress"))</f>
        <v>#REF!</v>
      </c>
      <c r="BF68" s="22">
        <v>0</v>
      </c>
      <c r="BG68" s="22" t="e">
        <f t="shared" si="39"/>
        <v>#REF!</v>
      </c>
      <c r="BH68" s="23" t="e">
        <f>IF(SUMPRODUCT($J$72:BG$72,$J68:BG68)&lt;0.5, "Pending", IF(BG68&lt;0.5, "Complete", "In Progress"))</f>
        <v>#REF!</v>
      </c>
      <c r="BI68" s="22">
        <v>0</v>
      </c>
      <c r="BJ68" s="22" t="e">
        <f t="shared" si="40"/>
        <v>#REF!</v>
      </c>
      <c r="BK68" s="23" t="e">
        <f>IF(SUMPRODUCT($J$72:BJ$72,$J68:BJ68)&lt;0.5, "Pending", IF(BJ68&lt;0.5, "Complete", "In Progress"))</f>
        <v>#REF!</v>
      </c>
      <c r="BL68" s="22">
        <v>0</v>
      </c>
      <c r="BM68" s="22" t="e">
        <f t="shared" si="41"/>
        <v>#REF!</v>
      </c>
      <c r="BN68" s="23" t="e">
        <f>IF(SUMPRODUCT($J$72:BM$72,$J68:BM68)&lt;0.5, "Pending", IF(BM68&lt;0.5, "Complete", "In Progress"))</f>
        <v>#REF!</v>
      </c>
      <c r="BO68" s="22">
        <v>0</v>
      </c>
      <c r="BP68" s="22" t="e">
        <f t="shared" si="42"/>
        <v>#REF!</v>
      </c>
      <c r="BQ68" s="23" t="e">
        <f>IF(SUMPRODUCT($J$72:BP$72,$J68:BP68)&lt;0.5, "Pending", IF(BP68&lt;0.5, "Complete", "In Progress"))</f>
        <v>#REF!</v>
      </c>
      <c r="BR68" s="22">
        <v>0</v>
      </c>
      <c r="BS68" s="22" t="e">
        <f t="shared" si="43"/>
        <v>#REF!</v>
      </c>
      <c r="BT68" s="23" t="e">
        <f>IF(SUMPRODUCT($J$72:BS$72,$J68:BS68)&lt;0.5, "Pending", IF(BS68&lt;0.5, "Complete", "In Progress"))</f>
        <v>#REF!</v>
      </c>
      <c r="BU68" s="22">
        <v>0</v>
      </c>
      <c r="BV68" s="22" t="e">
        <f t="shared" si="44"/>
        <v>#REF!</v>
      </c>
      <c r="BW68" s="23" t="e">
        <f>IF(SUMPRODUCT($J$72:BV$72,$J68:BV68)&lt;0.5, "Pending", IF(BV68&lt;0.5, "Complete", "In Progress"))</f>
        <v>#REF!</v>
      </c>
      <c r="BX68" s="22">
        <v>0</v>
      </c>
      <c r="BY68" s="22" t="e">
        <f t="shared" si="45"/>
        <v>#REF!</v>
      </c>
      <c r="BZ68" s="23" t="e">
        <f>IF(SUMPRODUCT($J$72:BY$72,$J68:BY68)&lt;0.5, "Pending", IF(BY68&lt;0.5, "Complete", "In Progress"))</f>
        <v>#REF!</v>
      </c>
      <c r="CA68" s="22">
        <v>0</v>
      </c>
      <c r="CB68" s="22" t="e">
        <f t="shared" si="46"/>
        <v>#REF!</v>
      </c>
      <c r="CC68" s="23" t="e">
        <f>IF(SUMPRODUCT($J$72:CB$72,$J68:CB68)&lt;0.5, "Pending", IF(CB68&lt;0.5, "Complete", "In Progress"))</f>
        <v>#REF!</v>
      </c>
      <c r="CD68" s="24"/>
      <c r="CE68" s="25">
        <f>SUMPRODUCT($H$72:AY$72,$H68:AY68)</f>
        <v>0</v>
      </c>
    </row>
    <row r="69" spans="1:83" x14ac:dyDescent="0.2">
      <c r="A69" s="16"/>
      <c r="B69" s="16"/>
      <c r="C69" s="16"/>
      <c r="D69" s="17"/>
      <c r="E69" s="177"/>
      <c r="F69" s="18" t="s">
        <v>48</v>
      </c>
      <c r="G69" s="19" t="e">
        <f t="shared" ca="1" si="0"/>
        <v>#REF!</v>
      </c>
      <c r="H69" s="20">
        <v>1</v>
      </c>
      <c r="I69" s="21">
        <v>0</v>
      </c>
      <c r="J69" s="22">
        <v>0</v>
      </c>
      <c r="K69" s="22">
        <f t="shared" ref="K69" si="208">MAX(I69-J69, 0)</f>
        <v>0</v>
      </c>
      <c r="L69" s="23" t="str">
        <f>IF(SUMPRODUCT($J$72:K$72,$J69:K69)&lt;0.5, "Pending", IF(K69&lt;0.5, "Complete", "In Progress"))</f>
        <v>Pending</v>
      </c>
      <c r="M69" s="22">
        <v>0</v>
      </c>
      <c r="N69" s="22">
        <f t="shared" ref="N69" si="209">MAX(K69-M69,0)</f>
        <v>0</v>
      </c>
      <c r="O69" s="23" t="str">
        <f>IF(SUMPRODUCT($J$72:N$72,$J69:N69)&lt;0.5, "Pending", IF(N69&lt;0.5, "Complete", "In Progress"))</f>
        <v>Pending</v>
      </c>
      <c r="P69" s="22">
        <v>0</v>
      </c>
      <c r="Q69" s="22">
        <f t="shared" ref="Q69" si="210">MAX(N69-P69,0)</f>
        <v>0</v>
      </c>
      <c r="R69" s="23" t="str">
        <f>IF(SUMPRODUCT($J$72:Q$72,$J69:Q69)&lt;0.5, "Pending", IF(Q69&lt;0.5, "Complete", "In Progress"))</f>
        <v>Pending</v>
      </c>
      <c r="S69" s="22">
        <v>0</v>
      </c>
      <c r="T69" s="22">
        <f t="shared" ref="T69" si="211">MAX(Q69-S69,0)</f>
        <v>0</v>
      </c>
      <c r="U69" s="23" t="str">
        <f>IF(SUMPRODUCT($J$72:T$72,$J69:T69)&lt;0.5, "Pending", IF(T69&lt;0.5, "Complete", "In Progress"))</f>
        <v>Pending</v>
      </c>
      <c r="V69" s="22">
        <v>0</v>
      </c>
      <c r="W69" s="22">
        <f t="shared" ref="W69" si="212">MAX(T69-V69,0)</f>
        <v>0</v>
      </c>
      <c r="X69" s="23" t="str">
        <f>IF(SUMPRODUCT($J$72:W$72,$J69:W69)&lt;0.5, "Pending", IF(W69&lt;0.5, "Complete", "In Progress"))</f>
        <v>Pending</v>
      </c>
      <c r="Y69" s="22">
        <v>0</v>
      </c>
      <c r="Z69" s="22">
        <f t="shared" ref="Z69" si="213">MAX(W69-Y69,0)</f>
        <v>0</v>
      </c>
      <c r="AA69" s="23" t="str">
        <f>IF(SUMPRODUCT($J$72:Z$72,$J69:Z69)&lt;0.5, "Pending", IF(Z69&lt;0.5, "Complete", "In Progress"))</f>
        <v>Pending</v>
      </c>
      <c r="AB69" s="22">
        <v>0</v>
      </c>
      <c r="AC69" s="22">
        <f t="shared" ref="AC69" si="214">MAX(Z69-AB69,0)</f>
        <v>0</v>
      </c>
      <c r="AD69" s="23" t="str">
        <f>IF(SUMPRODUCT($J$72:AC$72,$J69:AC69)&lt;0.5, "Pending", IF(AC69&lt;0.5, "Complete", "In Progress"))</f>
        <v>Pending</v>
      </c>
      <c r="AE69" s="22">
        <v>0</v>
      </c>
      <c r="AF69" s="22">
        <f t="shared" ref="AF69" si="215">MAX(AC69-AE69,0)</f>
        <v>0</v>
      </c>
      <c r="AG69" s="23" t="str">
        <f>IF(SUMPRODUCT($J$72:AF$72,$J69:AF69)&lt;0.5, "Pending", IF(AF69&lt;0.5, "Complete", "In Progress"))</f>
        <v>Pending</v>
      </c>
      <c r="AH69" s="22">
        <v>0</v>
      </c>
      <c r="AI69" s="22">
        <f t="shared" ref="AI69" si="216">MAX(AF69-AH69,0)</f>
        <v>0</v>
      </c>
      <c r="AJ69" s="23" t="str">
        <f>IF(SUMPRODUCT($J$72:AI$72,$J69:AI69)&lt;0.5, "Pending", IF(AI69&lt;0.5, "Complete", "In Progress"))</f>
        <v>Pending</v>
      </c>
      <c r="AK69" s="22">
        <v>0</v>
      </c>
      <c r="AL69" s="22">
        <f t="shared" ref="AL69" si="217">MAX(AI69-AK69,0)</f>
        <v>0</v>
      </c>
      <c r="AM69" s="23" t="str">
        <f>IF(SUMPRODUCT($J$72:AL$72,$J69:AL69)&lt;0.5, "Pending", IF(AL69&lt;0.5, "Complete", "In Progress"))</f>
        <v>Pending</v>
      </c>
      <c r="AN69" s="22">
        <v>0</v>
      </c>
      <c r="AO69" s="22">
        <f t="shared" ref="AO69" si="218">MAX(AL69-AN69,0)</f>
        <v>0</v>
      </c>
      <c r="AP69" s="23" t="str">
        <f>IF(SUMPRODUCT($J$72:AO$72,$J69:AO69)&lt;0.5, "Pending", IF(AO69&lt;0.5, "Complete", "In Progress"))</f>
        <v>Pending</v>
      </c>
      <c r="AQ69" s="22">
        <v>0</v>
      </c>
      <c r="AR69" s="22">
        <f t="shared" ref="AR69" si="219">MAX(AO69-AQ69,0)</f>
        <v>0</v>
      </c>
      <c r="AS69" s="23" t="str">
        <f>IF(SUMPRODUCT($J$72:AR$72,$J69:AR69)&lt;0.5, "Pending", IF(AR69&lt;0.5, "Complete", "In Progress"))</f>
        <v>Pending</v>
      </c>
      <c r="AT69" s="22">
        <v>0</v>
      </c>
      <c r="AU69" s="22">
        <f t="shared" ref="AU69" si="220">MAX(AR69-AT69,0)</f>
        <v>0</v>
      </c>
      <c r="AV69" s="23" t="str">
        <f>IF(SUMPRODUCT($J$72:AU$72,$J69:AU69)&lt;0.5, "Pending", IF(AU69&lt;0.5, "Complete", "In Progress"))</f>
        <v>Pending</v>
      </c>
      <c r="AW69" s="22">
        <v>0</v>
      </c>
      <c r="AX69" s="22">
        <f t="shared" ref="AX69" si="221">MAX(AU69-AW69,0)</f>
        <v>0</v>
      </c>
      <c r="AY69" s="23" t="str">
        <f>IF(SUMPRODUCT($J$72:AX$72,$J69:AX69)&lt;0.5, "Pending", IF(AX69&lt;0.5, "Complete", "In Progress"))</f>
        <v>Pending</v>
      </c>
      <c r="AZ69" s="22">
        <v>0</v>
      </c>
      <c r="BA69" s="22" t="e">
        <f>MAX(#REF!-AZ69,0)</f>
        <v>#REF!</v>
      </c>
      <c r="BB69" s="23" t="e">
        <f>IF(SUMPRODUCT($J$72:BA$72,$J69:BA69)&lt;0.5, "Pending", IF(BA69&lt;0.5, "Complete", "In Progress"))</f>
        <v>#REF!</v>
      </c>
      <c r="BC69" s="22">
        <v>0</v>
      </c>
      <c r="BD69" s="22" t="e">
        <f t="shared" ref="BD69" si="222">MAX(BA69-BC69,0)</f>
        <v>#REF!</v>
      </c>
      <c r="BE69" s="23" t="e">
        <f>IF(SUMPRODUCT($J$72:BD$72,$J69:BD69)&lt;0.5, "Pending", IF(BD69&lt;0.5, "Complete", "In Progress"))</f>
        <v>#REF!</v>
      </c>
      <c r="BF69" s="22">
        <v>0</v>
      </c>
      <c r="BG69" s="22" t="e">
        <f t="shared" ref="BG69" si="223">MAX(BD69-BF69,0)</f>
        <v>#REF!</v>
      </c>
      <c r="BH69" s="23" t="e">
        <f>IF(SUMPRODUCT($J$72:BG$72,$J69:BG69)&lt;0.5, "Pending", IF(BG69&lt;0.5, "Complete", "In Progress"))</f>
        <v>#REF!</v>
      </c>
      <c r="BI69" s="22">
        <v>0</v>
      </c>
      <c r="BJ69" s="22" t="e">
        <f t="shared" ref="BJ69" si="224">MAX(BG69-BI69,0)</f>
        <v>#REF!</v>
      </c>
      <c r="BK69" s="23" t="e">
        <f>IF(SUMPRODUCT($J$72:BJ$72,$J69:BJ69)&lt;0.5, "Pending", IF(BJ69&lt;0.5, "Complete", "In Progress"))</f>
        <v>#REF!</v>
      </c>
      <c r="BL69" s="22">
        <v>0</v>
      </c>
      <c r="BM69" s="22" t="e">
        <f t="shared" ref="BM69" si="225">MAX(BJ69-BL69,0)</f>
        <v>#REF!</v>
      </c>
      <c r="BN69" s="23" t="e">
        <f>IF(SUMPRODUCT($J$72:BM$72,$J69:BM69)&lt;0.5, "Pending", IF(BM69&lt;0.5, "Complete", "In Progress"))</f>
        <v>#REF!</v>
      </c>
      <c r="BO69" s="22">
        <v>0</v>
      </c>
      <c r="BP69" s="22" t="e">
        <f t="shared" ref="BP69" si="226">MAX(BM69-BO69,0)</f>
        <v>#REF!</v>
      </c>
      <c r="BQ69" s="23" t="e">
        <f>IF(SUMPRODUCT($J$72:BP$72,$J69:BP69)&lt;0.5, "Pending", IF(BP69&lt;0.5, "Complete", "In Progress"))</f>
        <v>#REF!</v>
      </c>
      <c r="BR69" s="22">
        <v>0</v>
      </c>
      <c r="BS69" s="22" t="e">
        <f t="shared" ref="BS69" si="227">MAX(BP69-BR69,0)</f>
        <v>#REF!</v>
      </c>
      <c r="BT69" s="23" t="e">
        <f>IF(SUMPRODUCT($J$72:BS$72,$J69:BS69)&lt;0.5, "Pending", IF(BS69&lt;0.5, "Complete", "In Progress"))</f>
        <v>#REF!</v>
      </c>
      <c r="BU69" s="22">
        <v>0</v>
      </c>
      <c r="BV69" s="22" t="e">
        <f t="shared" ref="BV69" si="228">MAX(BS69-BU69,0)</f>
        <v>#REF!</v>
      </c>
      <c r="BW69" s="23" t="e">
        <f>IF(SUMPRODUCT($J$72:BV$72,$J69:BV69)&lt;0.5, "Pending", IF(BV69&lt;0.5, "Complete", "In Progress"))</f>
        <v>#REF!</v>
      </c>
      <c r="BX69" s="22">
        <v>0</v>
      </c>
      <c r="BY69" s="22" t="e">
        <f t="shared" ref="BY69" si="229">MAX(BV69-BX69,0)</f>
        <v>#REF!</v>
      </c>
      <c r="BZ69" s="23" t="e">
        <f>IF(SUMPRODUCT($J$72:BY$72,$J69:BY69)&lt;0.5, "Pending", IF(BY69&lt;0.5, "Complete", "In Progress"))</f>
        <v>#REF!</v>
      </c>
      <c r="CA69" s="22">
        <v>0</v>
      </c>
      <c r="CB69" s="22" t="e">
        <f t="shared" ref="CB69" si="230">MAX(BY69-CA69,0)</f>
        <v>#REF!</v>
      </c>
      <c r="CC69" s="23" t="e">
        <f>IF(SUMPRODUCT($J$72:CB$72,$J69:CB69)&lt;0.5, "Pending", IF(CB69&lt;0.5, "Complete", "In Progress"))</f>
        <v>#REF!</v>
      </c>
      <c r="CD69" s="24"/>
      <c r="CE69" s="25">
        <f>SUMPRODUCT($H$72:AY$72,$H69:AY69)</f>
        <v>0</v>
      </c>
    </row>
    <row r="70" spans="1:83" hidden="1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4"/>
      <c r="K70" s="24"/>
      <c r="L70" s="24"/>
      <c r="M70" s="27"/>
      <c r="N70" s="27"/>
      <c r="O70" s="24"/>
      <c r="P70" s="27"/>
      <c r="Q70" s="27"/>
      <c r="R70" s="24"/>
      <c r="S70" s="27"/>
      <c r="T70" s="27"/>
      <c r="U70" s="27"/>
      <c r="V70" s="27"/>
      <c r="W70" s="27"/>
      <c r="X70" s="24"/>
      <c r="Y70" s="27"/>
      <c r="Z70" s="27"/>
      <c r="AA70" s="24"/>
      <c r="AB70" s="27"/>
      <c r="AC70" s="27"/>
      <c r="AD70" s="24"/>
      <c r="AE70" s="27"/>
      <c r="AF70" s="27"/>
      <c r="AG70" s="24"/>
      <c r="AH70" s="27"/>
      <c r="AI70" s="27"/>
      <c r="AJ70" s="24"/>
      <c r="AK70" s="27"/>
      <c r="AL70" s="27"/>
      <c r="AM70" s="24"/>
      <c r="AN70" s="27"/>
      <c r="AO70" s="27"/>
      <c r="AP70" s="24"/>
      <c r="AQ70" s="27"/>
      <c r="AR70" s="27"/>
      <c r="AS70" s="24"/>
      <c r="AT70" s="27"/>
      <c r="AU70" s="27"/>
      <c r="AV70" s="24"/>
      <c r="AW70" s="27"/>
      <c r="AX70" s="27"/>
      <c r="AY70" s="24"/>
      <c r="AZ70" s="27"/>
      <c r="BA70" s="27"/>
      <c r="BB70" s="24"/>
      <c r="BC70" s="27"/>
      <c r="BD70" s="27"/>
      <c r="BE70" s="24"/>
      <c r="BF70" s="27"/>
      <c r="BG70" s="27"/>
      <c r="BH70" s="24"/>
      <c r="BI70" s="27"/>
      <c r="BJ70" s="27"/>
      <c r="BK70" s="24"/>
      <c r="BL70" s="27"/>
      <c r="BM70" s="27"/>
      <c r="BN70" s="24"/>
      <c r="BO70" s="27"/>
      <c r="BP70" s="27"/>
      <c r="BQ70" s="24"/>
      <c r="BR70" s="27"/>
      <c r="BS70" s="27"/>
      <c r="BT70" s="24"/>
      <c r="BU70" s="27"/>
      <c r="BV70" s="27"/>
      <c r="BW70" s="24"/>
      <c r="BX70" s="27"/>
      <c r="BY70" s="27"/>
      <c r="BZ70" s="24"/>
      <c r="CA70" s="27"/>
      <c r="CB70" s="27"/>
      <c r="CC70" s="24"/>
      <c r="CD70" s="24"/>
      <c r="CE70" s="28">
        <f>SUMPRODUCT($H$73:BK$73,$H70:BK70)</f>
        <v>0</v>
      </c>
    </row>
    <row r="71" spans="1:83" x14ac:dyDescent="0.2">
      <c r="A71" s="29"/>
      <c r="B71" s="29"/>
      <c r="C71" s="29"/>
      <c r="D71" s="29"/>
      <c r="E71" s="29"/>
      <c r="F71" s="29"/>
      <c r="G71" s="1"/>
      <c r="H71" s="29"/>
      <c r="I71" s="29"/>
      <c r="J71" s="195" t="s">
        <v>9</v>
      </c>
      <c r="K71" s="196"/>
      <c r="L71" s="30">
        <v>1</v>
      </c>
      <c r="M71" s="192" t="s">
        <v>9</v>
      </c>
      <c r="N71" s="194"/>
      <c r="O71" s="30">
        <f>L71+1</f>
        <v>2</v>
      </c>
      <c r="P71" s="192" t="s">
        <v>9</v>
      </c>
      <c r="Q71" s="194"/>
      <c r="R71" s="30">
        <f>O71+1</f>
        <v>3</v>
      </c>
      <c r="S71" s="192" t="s">
        <v>9</v>
      </c>
      <c r="T71" s="194"/>
      <c r="U71" s="30">
        <f>R71+1</f>
        <v>4</v>
      </c>
      <c r="V71" s="192" t="s">
        <v>9</v>
      </c>
      <c r="W71" s="194"/>
      <c r="X71" s="30">
        <f>U71+1</f>
        <v>5</v>
      </c>
      <c r="Y71" s="192" t="s">
        <v>9</v>
      </c>
      <c r="Z71" s="192"/>
      <c r="AA71" s="30">
        <f>X71+1</f>
        <v>6</v>
      </c>
      <c r="AB71" s="192" t="s">
        <v>9</v>
      </c>
      <c r="AC71" s="192"/>
      <c r="AD71" s="30">
        <f>AA71+1</f>
        <v>7</v>
      </c>
      <c r="AE71" s="192" t="s">
        <v>9</v>
      </c>
      <c r="AF71" s="192"/>
      <c r="AG71" s="30">
        <f>AD71+1</f>
        <v>8</v>
      </c>
      <c r="AH71" s="192" t="s">
        <v>9</v>
      </c>
      <c r="AI71" s="192"/>
      <c r="AJ71" s="30">
        <f>AG71+1</f>
        <v>9</v>
      </c>
      <c r="AK71" s="192" t="s">
        <v>9</v>
      </c>
      <c r="AL71" s="192"/>
      <c r="AM71" s="30">
        <f>AJ71+1</f>
        <v>10</v>
      </c>
      <c r="AN71" s="192" t="s">
        <v>9</v>
      </c>
      <c r="AO71" s="192"/>
      <c r="AP71" s="30">
        <f>AM71+1</f>
        <v>11</v>
      </c>
      <c r="AQ71" s="192" t="s">
        <v>9</v>
      </c>
      <c r="AR71" s="192"/>
      <c r="AS71" s="30">
        <f>AP71+1</f>
        <v>12</v>
      </c>
      <c r="AT71" s="192" t="s">
        <v>9</v>
      </c>
      <c r="AU71" s="192"/>
      <c r="AV71" s="30">
        <f>AS71+1</f>
        <v>13</v>
      </c>
      <c r="AW71" s="192" t="s">
        <v>9</v>
      </c>
      <c r="AX71" s="192"/>
      <c r="AY71" s="30">
        <f>AV71+1</f>
        <v>14</v>
      </c>
      <c r="AZ71" s="192" t="s">
        <v>9</v>
      </c>
      <c r="BA71" s="194"/>
      <c r="BB71" s="30" t="e">
        <f>#REF!+1</f>
        <v>#REF!</v>
      </c>
      <c r="BC71" s="192" t="s">
        <v>9</v>
      </c>
      <c r="BD71" s="194"/>
      <c r="BE71" s="30" t="e">
        <f>BB71+1</f>
        <v>#REF!</v>
      </c>
      <c r="BF71" s="192" t="s">
        <v>9</v>
      </c>
      <c r="BG71" s="194"/>
      <c r="BH71" s="30" t="e">
        <f>BE71+1</f>
        <v>#REF!</v>
      </c>
      <c r="BI71" s="192" t="s">
        <v>9</v>
      </c>
      <c r="BJ71" s="194"/>
      <c r="BK71" s="30" t="e">
        <f>BH71+1</f>
        <v>#REF!</v>
      </c>
      <c r="BL71" s="192" t="s">
        <v>9</v>
      </c>
      <c r="BM71" s="194"/>
      <c r="BN71" s="30" t="e">
        <f>BK71+1</f>
        <v>#REF!</v>
      </c>
      <c r="BO71" s="192" t="s">
        <v>9</v>
      </c>
      <c r="BP71" s="194"/>
      <c r="BQ71" s="30" t="e">
        <f>BN71+1</f>
        <v>#REF!</v>
      </c>
      <c r="BR71" s="192" t="s">
        <v>9</v>
      </c>
      <c r="BS71" s="194"/>
      <c r="BT71" s="30" t="e">
        <f>BQ71+1</f>
        <v>#REF!</v>
      </c>
      <c r="BU71" s="192" t="s">
        <v>9</v>
      </c>
      <c r="BV71" s="194"/>
      <c r="BW71" s="30" t="e">
        <f>BT71+1</f>
        <v>#REF!</v>
      </c>
      <c r="BX71" s="192" t="s">
        <v>9</v>
      </c>
      <c r="BY71" s="194"/>
      <c r="BZ71" s="30" t="e">
        <f>BW71+1</f>
        <v>#REF!</v>
      </c>
      <c r="CA71" s="192" t="s">
        <v>9</v>
      </c>
      <c r="CB71" s="194"/>
      <c r="CC71" s="30" t="e">
        <f>BZ71+1</f>
        <v>#REF!</v>
      </c>
      <c r="CD71" s="30"/>
      <c r="CE71" s="31"/>
    </row>
    <row r="72" spans="1:83" hidden="1" x14ac:dyDescent="0.2">
      <c r="A72" s="32"/>
      <c r="B72" s="32"/>
      <c r="C72" s="32"/>
      <c r="D72" s="32"/>
      <c r="E72" s="32" t="s">
        <v>11</v>
      </c>
      <c r="F72" s="32"/>
      <c r="G72" s="32"/>
      <c r="H72" s="32"/>
      <c r="I72" s="32"/>
      <c r="J72" s="155">
        <v>1</v>
      </c>
      <c r="K72" s="155">
        <v>0</v>
      </c>
      <c r="L72" s="32">
        <v>0</v>
      </c>
      <c r="M72" s="32">
        <v>1</v>
      </c>
      <c r="N72" s="32">
        <v>0</v>
      </c>
      <c r="O72" s="32">
        <v>0</v>
      </c>
      <c r="P72" s="32">
        <v>1</v>
      </c>
      <c r="Q72" s="32">
        <v>0</v>
      </c>
      <c r="R72" s="32">
        <v>0</v>
      </c>
      <c r="S72" s="32">
        <v>1</v>
      </c>
      <c r="T72" s="32">
        <v>0</v>
      </c>
      <c r="U72" s="32">
        <v>0</v>
      </c>
      <c r="V72" s="32">
        <v>1</v>
      </c>
      <c r="W72" s="32">
        <v>0</v>
      </c>
      <c r="X72" s="32">
        <v>0</v>
      </c>
      <c r="Y72" s="32">
        <v>1</v>
      </c>
      <c r="Z72" s="32">
        <v>0</v>
      </c>
      <c r="AA72" s="32">
        <v>0</v>
      </c>
      <c r="AB72" s="32">
        <v>1</v>
      </c>
      <c r="AC72" s="32">
        <v>0</v>
      </c>
      <c r="AD72" s="32">
        <v>0</v>
      </c>
      <c r="AE72" s="32">
        <v>1</v>
      </c>
      <c r="AF72" s="32">
        <v>0</v>
      </c>
      <c r="AG72" s="32">
        <v>0</v>
      </c>
      <c r="AH72" s="32">
        <v>1</v>
      </c>
      <c r="AI72" s="32">
        <v>0</v>
      </c>
      <c r="AJ72" s="32">
        <v>0</v>
      </c>
      <c r="AK72" s="32">
        <v>1</v>
      </c>
      <c r="AL72" s="32">
        <v>0</v>
      </c>
      <c r="AM72" s="32">
        <v>0</v>
      </c>
      <c r="AN72" s="32">
        <v>1</v>
      </c>
      <c r="AO72" s="32">
        <v>0</v>
      </c>
      <c r="AP72" s="32">
        <v>0</v>
      </c>
      <c r="AQ72" s="32">
        <v>1</v>
      </c>
      <c r="AR72" s="32">
        <v>0</v>
      </c>
      <c r="AS72" s="32">
        <v>0</v>
      </c>
      <c r="AT72" s="32">
        <v>1</v>
      </c>
      <c r="AU72" s="32">
        <v>0</v>
      </c>
      <c r="AV72" s="32">
        <v>0</v>
      </c>
      <c r="AW72" s="32">
        <v>1</v>
      </c>
      <c r="AX72" s="32">
        <v>0</v>
      </c>
      <c r="AY72" s="32">
        <v>0</v>
      </c>
      <c r="AZ72" s="32">
        <v>1</v>
      </c>
      <c r="BA72" s="32">
        <v>0</v>
      </c>
      <c r="BB72" s="32">
        <v>0</v>
      </c>
      <c r="BC72" s="32">
        <v>1</v>
      </c>
      <c r="BD72" s="32">
        <v>0</v>
      </c>
      <c r="BE72" s="32">
        <v>0</v>
      </c>
      <c r="BF72" s="32">
        <v>1</v>
      </c>
      <c r="BG72" s="32">
        <v>0</v>
      </c>
      <c r="BH72" s="32">
        <v>0</v>
      </c>
      <c r="BI72" s="32">
        <v>1</v>
      </c>
      <c r="BJ72" s="32">
        <v>0</v>
      </c>
      <c r="BK72" s="32">
        <v>0</v>
      </c>
      <c r="BL72" s="32">
        <v>1</v>
      </c>
      <c r="BM72" s="32">
        <v>0</v>
      </c>
      <c r="BN72" s="32">
        <v>0</v>
      </c>
      <c r="BO72" s="32">
        <v>1</v>
      </c>
      <c r="BP72" s="32">
        <v>0</v>
      </c>
      <c r="BQ72" s="32">
        <v>0</v>
      </c>
      <c r="BR72" s="32">
        <v>1</v>
      </c>
      <c r="BS72" s="32">
        <v>0</v>
      </c>
      <c r="BT72" s="32">
        <v>0</v>
      </c>
      <c r="BU72" s="32">
        <v>1</v>
      </c>
      <c r="BV72" s="32">
        <v>0</v>
      </c>
      <c r="BW72" s="32">
        <v>0</v>
      </c>
      <c r="BX72" s="32">
        <v>1</v>
      </c>
      <c r="BY72" s="32">
        <v>0</v>
      </c>
      <c r="BZ72" s="32">
        <v>0</v>
      </c>
      <c r="CA72" s="32">
        <v>1</v>
      </c>
      <c r="CB72" s="32">
        <v>0</v>
      </c>
      <c r="CC72" s="32">
        <v>0</v>
      </c>
      <c r="CD72" s="32"/>
      <c r="CE72" s="33"/>
    </row>
    <row r="73" spans="1:83" hidden="1" x14ac:dyDescent="0.2">
      <c r="A73" s="34"/>
      <c r="B73" s="34"/>
      <c r="C73" s="34"/>
      <c r="D73" s="34"/>
      <c r="E73" s="32" t="s">
        <v>13</v>
      </c>
      <c r="F73" s="32"/>
      <c r="G73" s="32"/>
      <c r="H73" s="32"/>
      <c r="I73" s="32"/>
      <c r="J73" s="24">
        <v>0</v>
      </c>
      <c r="K73" s="155">
        <v>1</v>
      </c>
      <c r="L73" s="32">
        <v>0</v>
      </c>
      <c r="M73" s="35">
        <v>0</v>
      </c>
      <c r="N73" s="32">
        <v>1</v>
      </c>
      <c r="O73" s="32">
        <v>0</v>
      </c>
      <c r="P73" s="35">
        <v>0</v>
      </c>
      <c r="Q73" s="32">
        <v>1</v>
      </c>
      <c r="R73" s="32">
        <v>0</v>
      </c>
      <c r="S73" s="35">
        <v>0</v>
      </c>
      <c r="T73" s="32">
        <v>1</v>
      </c>
      <c r="U73" s="32">
        <v>0</v>
      </c>
      <c r="V73" s="35">
        <v>0</v>
      </c>
      <c r="W73" s="32">
        <v>1</v>
      </c>
      <c r="X73" s="32">
        <v>0</v>
      </c>
      <c r="Y73" s="35">
        <v>0</v>
      </c>
      <c r="Z73" s="32">
        <v>1</v>
      </c>
      <c r="AA73" s="32">
        <v>0</v>
      </c>
      <c r="AB73" s="35">
        <v>0</v>
      </c>
      <c r="AC73" s="32">
        <v>1</v>
      </c>
      <c r="AD73" s="32">
        <v>0</v>
      </c>
      <c r="AE73" s="35">
        <v>0</v>
      </c>
      <c r="AF73" s="32">
        <v>1</v>
      </c>
      <c r="AG73" s="32">
        <v>0</v>
      </c>
      <c r="AH73" s="35">
        <v>0</v>
      </c>
      <c r="AI73" s="32">
        <v>1</v>
      </c>
      <c r="AJ73" s="32">
        <v>0</v>
      </c>
      <c r="AK73" s="35">
        <v>0</v>
      </c>
      <c r="AL73" s="32">
        <v>1</v>
      </c>
      <c r="AM73" s="32">
        <v>0</v>
      </c>
      <c r="AN73" s="35">
        <v>0</v>
      </c>
      <c r="AO73" s="32">
        <v>1</v>
      </c>
      <c r="AP73" s="32">
        <v>0</v>
      </c>
      <c r="AQ73" s="35">
        <v>0</v>
      </c>
      <c r="AR73" s="32">
        <v>1</v>
      </c>
      <c r="AS73" s="32">
        <v>0</v>
      </c>
      <c r="AT73" s="35">
        <v>0</v>
      </c>
      <c r="AU73" s="32">
        <v>1</v>
      </c>
      <c r="AV73" s="32">
        <v>0</v>
      </c>
      <c r="AW73" s="35">
        <v>0</v>
      </c>
      <c r="AX73" s="32">
        <v>1</v>
      </c>
      <c r="AY73" s="32">
        <v>0</v>
      </c>
      <c r="AZ73" s="35">
        <v>0</v>
      </c>
      <c r="BA73" s="32">
        <v>1</v>
      </c>
      <c r="BB73" s="32">
        <v>0</v>
      </c>
      <c r="BC73" s="35">
        <v>0</v>
      </c>
      <c r="BD73" s="32">
        <v>1</v>
      </c>
      <c r="BE73" s="32">
        <v>0</v>
      </c>
      <c r="BF73" s="35">
        <v>0</v>
      </c>
      <c r="BG73" s="32">
        <v>1</v>
      </c>
      <c r="BH73" s="32">
        <v>0</v>
      </c>
      <c r="BI73" s="35">
        <v>0</v>
      </c>
      <c r="BJ73" s="32">
        <v>1</v>
      </c>
      <c r="BK73" s="32">
        <v>0</v>
      </c>
      <c r="BL73" s="35">
        <v>0</v>
      </c>
      <c r="BM73" s="32">
        <v>1</v>
      </c>
      <c r="BN73" s="32">
        <v>0</v>
      </c>
      <c r="BO73" s="35">
        <v>0</v>
      </c>
      <c r="BP73" s="32">
        <v>1</v>
      </c>
      <c r="BQ73" s="32">
        <v>0</v>
      </c>
      <c r="BR73" s="35">
        <v>0</v>
      </c>
      <c r="BS73" s="32">
        <v>1</v>
      </c>
      <c r="BT73" s="32">
        <v>0</v>
      </c>
      <c r="BU73" s="35">
        <v>0</v>
      </c>
      <c r="BV73" s="32">
        <v>1</v>
      </c>
      <c r="BW73" s="32">
        <v>0</v>
      </c>
      <c r="BX73" s="35">
        <v>0</v>
      </c>
      <c r="BY73" s="32">
        <v>1</v>
      </c>
      <c r="BZ73" s="32">
        <v>0</v>
      </c>
      <c r="CA73" s="35">
        <v>0</v>
      </c>
      <c r="CB73" s="32">
        <v>1</v>
      </c>
      <c r="CC73" s="32">
        <v>0</v>
      </c>
      <c r="CD73" s="32"/>
    </row>
    <row r="74" spans="1:83" hidden="1" x14ac:dyDescent="0.2">
      <c r="A74" s="32"/>
      <c r="B74" s="32"/>
      <c r="C74" s="32"/>
      <c r="D74" s="32"/>
      <c r="E74" s="36" t="s">
        <v>14</v>
      </c>
      <c r="F74" s="32"/>
      <c r="G74" s="32"/>
      <c r="H74" s="32"/>
      <c r="I74" s="32"/>
      <c r="J74" s="24">
        <v>0</v>
      </c>
      <c r="K74" s="155">
        <v>0</v>
      </c>
      <c r="L74" s="32">
        <v>1</v>
      </c>
      <c r="M74" s="35">
        <v>0</v>
      </c>
      <c r="N74" s="32">
        <v>0</v>
      </c>
      <c r="O74" s="32">
        <v>1</v>
      </c>
      <c r="P74" s="35">
        <v>0</v>
      </c>
      <c r="Q74" s="32">
        <v>0</v>
      </c>
      <c r="R74" s="32">
        <v>1</v>
      </c>
      <c r="S74" s="35">
        <v>0</v>
      </c>
      <c r="T74" s="32">
        <v>0</v>
      </c>
      <c r="U74" s="32">
        <v>1</v>
      </c>
      <c r="V74" s="35">
        <v>0</v>
      </c>
      <c r="W74" s="32">
        <v>0</v>
      </c>
      <c r="X74" s="32">
        <v>1</v>
      </c>
      <c r="Y74" s="35">
        <v>0</v>
      </c>
      <c r="Z74" s="32">
        <v>0</v>
      </c>
      <c r="AA74" s="32">
        <v>1</v>
      </c>
      <c r="AB74" s="35">
        <v>0</v>
      </c>
      <c r="AC74" s="32">
        <v>0</v>
      </c>
      <c r="AD74" s="32">
        <v>1</v>
      </c>
      <c r="AE74" s="35">
        <v>0</v>
      </c>
      <c r="AF74" s="32">
        <v>0</v>
      </c>
      <c r="AG74" s="32">
        <v>1</v>
      </c>
      <c r="AH74" s="35">
        <v>0</v>
      </c>
      <c r="AI74" s="32">
        <v>0</v>
      </c>
      <c r="AJ74" s="32">
        <v>1</v>
      </c>
      <c r="AK74" s="35">
        <v>0</v>
      </c>
      <c r="AL74" s="32">
        <v>0</v>
      </c>
      <c r="AM74" s="32">
        <v>1</v>
      </c>
      <c r="AN74" s="35">
        <v>0</v>
      </c>
      <c r="AO74" s="32">
        <v>0</v>
      </c>
      <c r="AP74" s="32">
        <v>1</v>
      </c>
      <c r="AQ74" s="35">
        <v>0</v>
      </c>
      <c r="AR74" s="32">
        <v>0</v>
      </c>
      <c r="AS74" s="32">
        <v>1</v>
      </c>
      <c r="AT74" s="35">
        <v>0</v>
      </c>
      <c r="AU74" s="32">
        <v>0</v>
      </c>
      <c r="AV74" s="32">
        <v>1</v>
      </c>
      <c r="AW74" s="35">
        <v>0</v>
      </c>
      <c r="AX74" s="32">
        <v>0</v>
      </c>
      <c r="AY74" s="32">
        <v>1</v>
      </c>
      <c r="AZ74" s="35">
        <v>0</v>
      </c>
      <c r="BA74" s="32">
        <v>0</v>
      </c>
      <c r="BB74" s="32">
        <v>1</v>
      </c>
      <c r="BC74" s="35">
        <v>0</v>
      </c>
      <c r="BD74" s="32">
        <v>0</v>
      </c>
      <c r="BE74" s="32">
        <v>1</v>
      </c>
      <c r="BF74" s="35">
        <v>0</v>
      </c>
      <c r="BG74" s="32">
        <v>0</v>
      </c>
      <c r="BH74" s="32">
        <v>1</v>
      </c>
      <c r="BI74" s="35">
        <v>0</v>
      </c>
      <c r="BJ74" s="32">
        <v>0</v>
      </c>
      <c r="BK74" s="32">
        <v>1</v>
      </c>
      <c r="BL74" s="35">
        <v>0</v>
      </c>
      <c r="BM74" s="32">
        <v>0</v>
      </c>
      <c r="BN74" s="32">
        <v>1</v>
      </c>
      <c r="BO74" s="35">
        <v>0</v>
      </c>
      <c r="BP74" s="32">
        <v>0</v>
      </c>
      <c r="BQ74" s="32">
        <v>1</v>
      </c>
      <c r="BR74" s="35">
        <v>0</v>
      </c>
      <c r="BS74" s="32">
        <v>0</v>
      </c>
      <c r="BT74" s="32">
        <v>1</v>
      </c>
      <c r="BU74" s="35">
        <v>0</v>
      </c>
      <c r="BV74" s="32">
        <v>0</v>
      </c>
      <c r="BW74" s="32">
        <v>1</v>
      </c>
      <c r="BX74" s="35">
        <v>0</v>
      </c>
      <c r="BY74" s="32">
        <v>0</v>
      </c>
      <c r="BZ74" s="32">
        <v>1</v>
      </c>
      <c r="CA74" s="35">
        <v>0</v>
      </c>
      <c r="CB74" s="32">
        <v>0</v>
      </c>
      <c r="CC74" s="32">
        <v>1</v>
      </c>
      <c r="CD74" s="32"/>
    </row>
    <row r="75" spans="1:83" x14ac:dyDescent="0.2">
      <c r="A75" s="37">
        <v>300</v>
      </c>
      <c r="B75" s="37">
        <v>300</v>
      </c>
      <c r="C75" s="37">
        <v>300</v>
      </c>
      <c r="D75" s="37" t="s">
        <v>90</v>
      </c>
      <c r="E75" s="38" t="s">
        <v>86</v>
      </c>
      <c r="F75" s="38"/>
      <c r="G75" s="38"/>
      <c r="H75" s="38"/>
      <c r="I75" s="39">
        <f>SUBTOTAL(109,I$4:I$70)</f>
        <v>137</v>
      </c>
      <c r="J75" s="156">
        <f>SUBTOTAL(109,J$4:J$70)</f>
        <v>14</v>
      </c>
      <c r="K75" s="156">
        <f>SUBTOTAL(109,K$4:K$69)</f>
        <v>123</v>
      </c>
      <c r="L75" s="39"/>
      <c r="M75" s="39">
        <f>SUBTOTAL(109,M$4:M$70)</f>
        <v>14</v>
      </c>
      <c r="N75" s="39">
        <f>SUBTOTAL(109,N$4:N$69)</f>
        <v>109</v>
      </c>
      <c r="O75" s="39"/>
      <c r="P75" s="39">
        <f>SUBTOTAL(109,P$4:P$70)</f>
        <v>14</v>
      </c>
      <c r="Q75" s="39">
        <f>SUBTOTAL(109,Q$4:Q$69)</f>
        <v>95</v>
      </c>
      <c r="R75" s="39"/>
      <c r="S75" s="39">
        <f>SUBTOTAL(109,S$4:S$70)</f>
        <v>14</v>
      </c>
      <c r="T75" s="39">
        <f>SUBTOTAL(109,T$4:T$69)</f>
        <v>81</v>
      </c>
      <c r="U75" s="39"/>
      <c r="V75" s="39">
        <f>SUBTOTAL(109,V$4:V$70)</f>
        <v>14</v>
      </c>
      <c r="W75" s="39">
        <f>SUBTOTAL(109,W$4:W$69)</f>
        <v>67</v>
      </c>
      <c r="X75" s="39"/>
      <c r="Y75" s="39">
        <f>SUBTOTAL(109,Y$4:Y$70)</f>
        <v>13</v>
      </c>
      <c r="Z75" s="39">
        <f>SUBTOTAL(109,Z$4:Z$69)</f>
        <v>54</v>
      </c>
      <c r="AA75" s="39"/>
      <c r="AB75" s="39">
        <f>SUBTOTAL(109,AB$4:AB$70)</f>
        <v>14</v>
      </c>
      <c r="AC75" s="39">
        <f>SUBTOTAL(109,AC$4:AC$69)</f>
        <v>40</v>
      </c>
      <c r="AD75" s="39"/>
      <c r="AE75" s="39">
        <f>SUBTOTAL(109,AE$4:AE$70)</f>
        <v>12</v>
      </c>
      <c r="AF75" s="39">
        <f>SUBTOTAL(109,AF$4:AF$69)</f>
        <v>28</v>
      </c>
      <c r="AG75" s="39"/>
      <c r="AH75" s="39">
        <f>SUBTOTAL(109,AH$4:AH$70)</f>
        <v>13</v>
      </c>
      <c r="AI75" s="39">
        <f>SUBTOTAL(109,AI$4:AI$69)</f>
        <v>15</v>
      </c>
      <c r="AJ75" s="39"/>
      <c r="AK75" s="39">
        <f>SUBTOTAL(109,AK$4:AK$70)</f>
        <v>15</v>
      </c>
      <c r="AL75" s="39">
        <f>SUBTOTAL(109,AL$4:AL$69)</f>
        <v>0</v>
      </c>
      <c r="AM75" s="39"/>
      <c r="AN75" s="39">
        <f>SUBTOTAL(109,AN$4:AN$70)</f>
        <v>0</v>
      </c>
      <c r="AO75" s="39">
        <f>SUBTOTAL(109,AO$4:AO$69)</f>
        <v>0</v>
      </c>
      <c r="AP75" s="39"/>
      <c r="AQ75" s="39">
        <f>SUBTOTAL(109,AQ$4:AQ$70)</f>
        <v>0</v>
      </c>
      <c r="AR75" s="39">
        <f>SUBTOTAL(109,AR$4:AR$69)</f>
        <v>0</v>
      </c>
      <c r="AS75" s="39"/>
      <c r="AT75" s="39">
        <f>SUBTOTAL(109,AT$4:AT$70)</f>
        <v>0</v>
      </c>
      <c r="AU75" s="39">
        <f>SUBTOTAL(109,AU$4:AU$69)</f>
        <v>0</v>
      </c>
      <c r="AV75" s="39"/>
      <c r="AW75" s="39">
        <f>SUBTOTAL(109,AW$4:AW$70)</f>
        <v>0</v>
      </c>
      <c r="AX75" s="39">
        <f>SUBTOTAL(109,AX$4:AX$69)</f>
        <v>0</v>
      </c>
      <c r="AY75" s="39"/>
      <c r="AZ75" s="39">
        <f t="shared" ref="AZ75:CC75" si="231">SUBTOTAL(109,AZ$4:AZ$69)</f>
        <v>0</v>
      </c>
      <c r="BA75" s="39" t="e">
        <f t="shared" si="231"/>
        <v>#REF!</v>
      </c>
      <c r="BB75" s="39" t="e">
        <f t="shared" si="231"/>
        <v>#REF!</v>
      </c>
      <c r="BC75" s="39">
        <f t="shared" si="231"/>
        <v>0</v>
      </c>
      <c r="BD75" s="39" t="e">
        <f t="shared" si="231"/>
        <v>#REF!</v>
      </c>
      <c r="BE75" s="39" t="e">
        <f t="shared" si="231"/>
        <v>#REF!</v>
      </c>
      <c r="BF75" s="39">
        <f t="shared" si="231"/>
        <v>0</v>
      </c>
      <c r="BG75" s="39" t="e">
        <f t="shared" si="231"/>
        <v>#REF!</v>
      </c>
      <c r="BH75" s="39" t="e">
        <f t="shared" si="231"/>
        <v>#REF!</v>
      </c>
      <c r="BI75" s="39">
        <f t="shared" si="231"/>
        <v>0</v>
      </c>
      <c r="BJ75" s="39" t="e">
        <f t="shared" si="231"/>
        <v>#REF!</v>
      </c>
      <c r="BK75" s="39" t="e">
        <f t="shared" si="231"/>
        <v>#REF!</v>
      </c>
      <c r="BL75" s="39">
        <f t="shared" si="231"/>
        <v>0</v>
      </c>
      <c r="BM75" s="39" t="e">
        <f t="shared" si="231"/>
        <v>#REF!</v>
      </c>
      <c r="BN75" s="39" t="e">
        <f t="shared" si="231"/>
        <v>#REF!</v>
      </c>
      <c r="BO75" s="39">
        <f t="shared" si="231"/>
        <v>0</v>
      </c>
      <c r="BP75" s="39" t="e">
        <f t="shared" si="231"/>
        <v>#REF!</v>
      </c>
      <c r="BQ75" s="39" t="e">
        <f t="shared" si="231"/>
        <v>#REF!</v>
      </c>
      <c r="BR75" s="39">
        <f t="shared" si="231"/>
        <v>0</v>
      </c>
      <c r="BS75" s="39" t="e">
        <f t="shared" si="231"/>
        <v>#REF!</v>
      </c>
      <c r="BT75" s="39" t="e">
        <f t="shared" si="231"/>
        <v>#REF!</v>
      </c>
      <c r="BU75" s="39">
        <f t="shared" si="231"/>
        <v>0</v>
      </c>
      <c r="BV75" s="39" t="e">
        <f t="shared" si="231"/>
        <v>#REF!</v>
      </c>
      <c r="BW75" s="39" t="e">
        <f t="shared" si="231"/>
        <v>#REF!</v>
      </c>
      <c r="BX75" s="39">
        <f t="shared" si="231"/>
        <v>0</v>
      </c>
      <c r="BY75" s="39" t="e">
        <f t="shared" si="231"/>
        <v>#REF!</v>
      </c>
      <c r="BZ75" s="39" t="e">
        <f t="shared" si="231"/>
        <v>#REF!</v>
      </c>
      <c r="CA75" s="39">
        <f t="shared" si="231"/>
        <v>0</v>
      </c>
      <c r="CB75" s="39" t="e">
        <f t="shared" si="231"/>
        <v>#REF!</v>
      </c>
      <c r="CC75" s="39" t="e">
        <f t="shared" si="231"/>
        <v>#REF!</v>
      </c>
      <c r="CD75" s="38"/>
      <c r="CE75" s="40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  <c r="H77" s="41"/>
      <c r="I77" s="41"/>
      <c r="J77" s="157"/>
      <c r="K77" s="158"/>
      <c r="L77" s="41"/>
      <c r="M77" s="42"/>
      <c r="N77" s="41"/>
      <c r="O77" s="41"/>
      <c r="P77" s="42"/>
      <c r="Q77" s="41"/>
      <c r="R77" s="41"/>
      <c r="S77" s="42"/>
      <c r="T77" s="41"/>
      <c r="U77" s="41"/>
      <c r="V77" s="42"/>
      <c r="W77" s="41"/>
      <c r="X77" s="41"/>
      <c r="Y77" s="42"/>
      <c r="Z77" s="41"/>
      <c r="AA77" s="41"/>
      <c r="AB77" s="42"/>
      <c r="AC77" s="41"/>
      <c r="AD77" s="41"/>
      <c r="AE77" s="42"/>
      <c r="AF77" s="41"/>
      <c r="AG77" s="41"/>
      <c r="AH77" s="42"/>
      <c r="AI77" s="41"/>
      <c r="AJ77" s="41"/>
      <c r="AK77" s="42"/>
      <c r="AL77" s="41"/>
      <c r="AM77" s="41"/>
      <c r="AN77" s="42"/>
      <c r="AO77" s="41"/>
      <c r="AP77" s="41"/>
      <c r="AQ77" s="42"/>
      <c r="AR77" s="41"/>
      <c r="AS77" s="41"/>
      <c r="AT77" s="42"/>
      <c r="AU77" s="41"/>
      <c r="AV77" s="41"/>
      <c r="AW77" s="42"/>
      <c r="AX77" s="41"/>
      <c r="AY77" s="41"/>
      <c r="AZ77" s="42"/>
      <c r="BA77" s="41"/>
      <c r="BB77" s="41"/>
      <c r="BC77" s="42"/>
      <c r="BD77" s="41"/>
      <c r="BE77" s="41"/>
      <c r="BF77" s="42"/>
      <c r="BG77" s="41"/>
      <c r="BH77" s="41"/>
      <c r="BI77" s="42"/>
      <c r="BJ77" s="41"/>
      <c r="BK77" s="41"/>
      <c r="BL77" s="42"/>
      <c r="BM77" s="41"/>
      <c r="BN77" s="41"/>
      <c r="BO77" s="42"/>
      <c r="BP77" s="41"/>
      <c r="BQ77" s="41"/>
      <c r="BR77" s="42"/>
      <c r="BS77" s="41"/>
      <c r="BT77" s="41"/>
      <c r="BU77" s="42"/>
      <c r="BV77" s="41"/>
      <c r="BW77" s="41"/>
      <c r="BX77" s="42"/>
      <c r="BY77" s="41"/>
      <c r="BZ77" s="41"/>
      <c r="CA77" s="42"/>
      <c r="CB77" s="41"/>
      <c r="CC77" s="41"/>
      <c r="CD77" s="41"/>
    </row>
    <row r="78" spans="1:83" x14ac:dyDescent="0.2">
      <c r="A78" s="41"/>
      <c r="B78" s="41"/>
      <c r="C78" s="41"/>
      <c r="D78" s="41"/>
      <c r="E78" s="41"/>
      <c r="F78" s="41"/>
      <c r="G78" s="41"/>
    </row>
    <row r="79" spans="1:83" x14ac:dyDescent="0.2">
      <c r="A79" s="41"/>
      <c r="B79" s="41"/>
      <c r="C79" s="41"/>
      <c r="D79" s="41"/>
      <c r="E79" s="41"/>
      <c r="F79" s="41"/>
      <c r="G79" s="41"/>
    </row>
  </sheetData>
  <autoFilter ref="C3:CE69"/>
  <mergeCells count="48">
    <mergeCell ref="AT71:AU71"/>
    <mergeCell ref="AW71:AX71"/>
    <mergeCell ref="AH71:AI71"/>
    <mergeCell ref="AK71:AL71"/>
    <mergeCell ref="AN71:AO71"/>
    <mergeCell ref="AQ71:AR71"/>
    <mergeCell ref="AW1:AY1"/>
    <mergeCell ref="AH1:AJ1"/>
    <mergeCell ref="AK1:AM1"/>
    <mergeCell ref="AN1:AP1"/>
    <mergeCell ref="AQ1:AS1"/>
    <mergeCell ref="AT1:AV1"/>
    <mergeCell ref="V1:X1"/>
    <mergeCell ref="J71:K71"/>
    <mergeCell ref="M71:N71"/>
    <mergeCell ref="P71:Q71"/>
    <mergeCell ref="S71:T71"/>
    <mergeCell ref="V71:W71"/>
    <mergeCell ref="J1:L1"/>
    <mergeCell ref="M1:O1"/>
    <mergeCell ref="P1:R1"/>
    <mergeCell ref="S1:U1"/>
    <mergeCell ref="BL1:BN1"/>
    <mergeCell ref="BL71:BM71"/>
    <mergeCell ref="BO1:BQ1"/>
    <mergeCell ref="BO71:BP71"/>
    <mergeCell ref="AZ1:BB1"/>
    <mergeCell ref="AZ71:BA71"/>
    <mergeCell ref="BC1:BE1"/>
    <mergeCell ref="BC71:BD71"/>
    <mergeCell ref="BF1:BH1"/>
    <mergeCell ref="BF71:BG71"/>
    <mergeCell ref="BI1:BK1"/>
    <mergeCell ref="BI71:BJ71"/>
    <mergeCell ref="BX1:BZ1"/>
    <mergeCell ref="BX71:BY71"/>
    <mergeCell ref="CA1:CC1"/>
    <mergeCell ref="CA71:CB71"/>
    <mergeCell ref="BR1:BT1"/>
    <mergeCell ref="BR71:BS71"/>
    <mergeCell ref="BU1:BW1"/>
    <mergeCell ref="BU71:BV71"/>
    <mergeCell ref="AE71:AF71"/>
    <mergeCell ref="AB71:AC71"/>
    <mergeCell ref="Y71:Z71"/>
    <mergeCell ref="AE1:AG1"/>
    <mergeCell ref="AB1:AD1"/>
    <mergeCell ref="Y1:AA1"/>
  </mergeCells>
  <phoneticPr fontId="2" type="noConversion"/>
  <conditionalFormatting sqref="I75">
    <cfRule type="cellIs" dxfId="122" priority="156" stopIfTrue="1" operator="lessThan">
      <formula>C75*0.75</formula>
    </cfRule>
    <cfRule type="cellIs" dxfId="121" priority="156" stopIfTrue="1" operator="between">
      <formula>C75*0.75</formula>
      <formula>#REF!</formula>
    </cfRule>
    <cfRule type="cellIs" dxfId="120" priority="156" stopIfTrue="1" operator="greaterThan">
      <formula>C75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19" priority="148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18" priority="149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17" priority="150" stopIfTrue="1">
      <formula>J$1=TODAY()+DailyScrumDateModifier</formula>
    </cfRule>
  </conditionalFormatting>
  <conditionalFormatting sqref="AW4:AW9 AN4:AN9 CA4:CA9 BX4:BX9 BU4:BU9 BR4:BR9 BO4:BO9 BL4:BL9 BI4:BI9 BF4:BF9 BC4:BC9 AZ4:AZ9 P4:P9 AZ11:AZ15 BC11:BC15 BF11:BF15 BI11:BI15 BL11:BL15 BO11:BO15 BR11:BR15 BU11:BU15 BX11:BX15 CA11:CA15 AN41:AN69 CA24:CA69 BX24:BX69 BU24:BU69 BR24:BR69 BO24:BO69 BL24:BL69 BI24:BI69 BF24:BF69 BC24:BC69 AZ24:AZ69 P30:P69 AQ4:AQ69 AT4:AT69 AW11:AW69 J4:J69 M4:M69 P11:P28 Y4:Y69 AB4:AB69 AE4:AE69 AK4:AK69 S4:S69 V4:V69 AH4:AH69">
    <cfRule type="expression" dxfId="116" priority="159" stopIfTrue="1">
      <formula>J$1=TODAY()+DailyScrumDateModifier</formula>
    </cfRule>
    <cfRule type="expression" dxfId="115" priority="159" stopIfTrue="1">
      <formula>MOD(ROW(),2)</formula>
    </cfRule>
  </conditionalFormatting>
  <conditionalFormatting sqref="N4:N9 AX4:AX9 AU4:AU9 AR4:AR9 AL4:AL9 AF4:AF9 AC4:AC9 Z4:Z9 W4:W9 Q4:Q9 CB4:CB9 BY4:BY9 BV4:BV9 BS4:BS9 BP4:BP9 BM4:BM9 BJ4:BJ9 BG4:BG9 BD4:BD9 BA4:BA9 K4:K9 T4:T9 AI4:AI9 AO4:AO9 AO11:AO15 AI11:AI15 T11:T15 K11:K15 BA11:BA15 BD11:BD15 BG11:BG15 BJ11:BJ15 BM11:BM15 BP11:BP15 BS11:BS15 BV11:BV15 BY11:BY15 CB11:CB15 Q11:Q15 W11:W15 Z11:Z15 AC11:AC15 AF11:AF15 AL11:AL15 AR11:AR15 AU11:AU15 AX11:AX15 N11:N15 N24:N69 AX24:AX69 AU24:AU69 AR24:AR69 AL24:AL69 AF24:AF69 AC24:AC69 Z24:Z69 W24:W69 Q24:Q69 CB24:CB69 BY24:BY69 BV24:BV69 BS24:BS69 BP24:BP69 BM24:BM69 BJ24:BJ69 BG24:BG69 BD24:BD69 BA24:BA69 K24:K69 T24:T69 AI24:AI69 AO24:AO69">
    <cfRule type="expression" dxfId="114" priority="161" stopIfTrue="1">
      <formula>J$1=TODAY()+DailyScrumDateModifier</formula>
    </cfRule>
    <cfRule type="expression" dxfId="113" priority="161" stopIfTrue="1">
      <formula>MOD(ROW(),2)</formula>
    </cfRule>
  </conditionalFormatting>
  <conditionalFormatting sqref="CE4:CE9 H4:I9 A4:E5 A30:E69 A13:C15 H11:I15 CE11:CE15 C24 CE24:CE70 H24:I69 C11:C12 A6:B12 E6:E9 E24 E11:E15 A29:C29 E29 D6:D29 C5:C9">
    <cfRule type="expression" dxfId="112" priority="163" stopIfTrue="1">
      <formula>MOD(ROW(),2)</formula>
    </cfRule>
  </conditionalFormatting>
  <conditionalFormatting sqref="CC4:CC9 BZ4:BZ9 BW4:BW9 BT4:BT9 BQ4:BQ9 BN4:BN9 BK4:BK9 BH4:BH9 BE4:BE9 BB4:BB9 X4:X9 U4:U9 R4:R9 O4:O9 AY4:AY9 AV4:AV9 AS4:AS9 AP4:AP9 AM4:AM9 AJ4:AJ9 AG4:AG9 AD4:AD9 AA4:AA9 L4:L9 L11:L15 AA11:AA15 AD11:AD15 AG11:AG15 AJ11:AJ15 AM11:AM15 AP11:AP15 AS11:AS15 AV11:AV15 AY11:AY15 O11:O15 R11:R15 U11:U15 X11:X15 BB11:BB15 BE11:BE15 BH11:BH15 BK11:BK15 BN11:BN15 BQ11:BQ15 BT11:BT15 BW11:BW15 BZ11:BZ15 CC11:CC15 CC24:CC69 BZ24:BZ69 BW24:BW69 BT24:BT69 BQ24:BQ69 BN24:BN69 BK24:BK69 BH24:BH69 BE24:BE69 BB24:BB69 X24:X69 U24:U69 R24:R69 O24:O69 AY24:AY69 AV24:AV69 AS24:AS69 AP24:AP69 AM24:AM69 AJ24:AJ69 AG24:AG69 AD24:AD69 AA24:AA69 L24:L69">
    <cfRule type="cellIs" dxfId="111" priority="164" stopIfTrue="1" operator="equal">
      <formula>"Pending"</formula>
    </cfRule>
    <cfRule type="cellIs" dxfId="110" priority="164" stopIfTrue="1" operator="equal">
      <formula>"In Progress"</formula>
    </cfRule>
    <cfRule type="cellIs" dxfId="109" priority="164" stopIfTrue="1" operator="equal">
      <formula>"Complete"</formula>
    </cfRule>
  </conditionalFormatting>
  <conditionalFormatting sqref="J1:CC1">
    <cfRule type="expression" dxfId="108" priority="151" stopIfTrue="1">
      <formula>J$1=TODAY()+DailyScrumDateModifier</formula>
    </cfRule>
    <cfRule type="expression" dxfId="107" priority="151" stopIfTrue="1">
      <formula>J$1=TODAY()</formula>
    </cfRule>
  </conditionalFormatting>
  <conditionalFormatting sqref="J76:K77 M76:N77">
    <cfRule type="expression" dxfId="106" priority="153" stopIfTrue="1">
      <formula>"I1=TODAY()"</formula>
    </cfRule>
  </conditionalFormatting>
  <conditionalFormatting sqref="G71">
    <cfRule type="cellIs" dxfId="105" priority="154" stopIfTrue="1" operator="equal">
      <formula>"Complete"</formula>
    </cfRule>
    <cfRule type="cellIs" dxfId="104" priority="154" stopIfTrue="1" operator="equal">
      <formula>"In Progress"</formula>
    </cfRule>
  </conditionalFormatting>
  <conditionalFormatting sqref="G21 G4:G15 G19 G17 G23:G69">
    <cfRule type="cellIs" dxfId="103" priority="167" stopIfTrue="1" operator="equal">
      <formula>"Complete"</formula>
    </cfRule>
    <cfRule type="cellIs" dxfId="102" priority="167" stopIfTrue="1" operator="equal">
      <formula>"In Progress"</formula>
    </cfRule>
    <cfRule type="cellIs" dxfId="101" priority="167" stopIfTrue="1" operator="equal">
      <formula>"Pending"</formula>
    </cfRule>
  </conditionalFormatting>
  <conditionalFormatting sqref="A25:B26">
    <cfRule type="expression" dxfId="100" priority="145" stopIfTrue="1">
      <formula>MOD(ROW(),2)</formula>
    </cfRule>
  </conditionalFormatting>
  <conditionalFormatting sqref="A27:B28">
    <cfRule type="expression" dxfId="99" priority="144" stopIfTrue="1">
      <formula>MOD(ROW(),2)</formula>
    </cfRule>
  </conditionalFormatting>
  <conditionalFormatting sqref="P10 AZ10 BC10 BF10 BI10 BL10 BO10 BR10 BU10 BX10 CA10 AW10 AN10:AN40">
    <cfRule type="expression" dxfId="98" priority="133" stopIfTrue="1">
      <formula>P$1=TODAY()+DailyScrumDateModifier</formula>
    </cfRule>
  </conditionalFormatting>
  <conditionalFormatting sqref="AO10 AI10 T10 K10 BA10 BD10 BG10 BJ10 BM10 BP10 BS10 BV10 BY10 CB10 Q10 W10 Z10 AC10 AF10 AL10 AR10 AU10 AX10 N10">
    <cfRule type="expression" dxfId="97" priority="134" stopIfTrue="1">
      <formula>J$1=TODAY()+DailyScrumDateModifier</formula>
    </cfRule>
  </conditionalFormatting>
  <conditionalFormatting sqref="C10 H10:I10 CE10 E10">
    <cfRule type="expression" dxfId="96" priority="135" stopIfTrue="1">
      <formula>MOD(ROW(),2)</formula>
    </cfRule>
  </conditionalFormatting>
  <conditionalFormatting sqref="L10 AA10 AD10 AG10 AJ10 AM10 AP10 AS10 AV10 AY10 O10 R10 U10 X10 BB10 BE10 BH10 BK10 BN10 BQ10 BT10 BW10 BZ10 CC10">
    <cfRule type="cellIs" dxfId="95" priority="136" stopIfTrue="1" operator="equal">
      <formula>"Pending"</formula>
    </cfRule>
  </conditionalFormatting>
  <conditionalFormatting sqref="CA23 BX23 BU23 BR23 BO23 BL23 BI23 BF23 BC23 AZ23">
    <cfRule type="expression" dxfId="94" priority="122" stopIfTrue="1">
      <formula>AZ$1=TODAY()+DailyScrumDateModifier</formula>
    </cfRule>
  </conditionalFormatting>
  <conditionalFormatting sqref="N23 AX23 AU23 AR23 AL23 AF23 AC23 Z23 W23 Q23 CB23 BY23 BV23 BS23 BP23 BM23 BJ23 BG23 BD23 BA23 K23 T23 AI23 AO23">
    <cfRule type="expression" dxfId="93" priority="123" stopIfTrue="1">
      <formula>J$1=TODAY()+DailyScrumDateModifier</formula>
    </cfRule>
  </conditionalFormatting>
  <conditionalFormatting sqref="CE23 H23:I23 C23 E23">
    <cfRule type="expression" dxfId="92" priority="124" stopIfTrue="1">
      <formula>MOD(ROW(),2)</formula>
    </cfRule>
  </conditionalFormatting>
  <conditionalFormatting sqref="CC23 BZ23 BW23 BT23 BQ23 BN23 BK23 BH23 BE23 BB23 X23 U23 R23 O23 AY23 AV23 AS23 AP23 AM23 AJ23 AG23 AD23 AA23 L23">
    <cfRule type="cellIs" dxfId="91" priority="125" stopIfTrue="1" operator="equal">
      <formula>"Pending"</formula>
    </cfRule>
  </conditionalFormatting>
  <conditionalFormatting sqref="CA22 BX22 BU22 BR22 BO22 BL22 BI22 BF22 BC22 AZ22">
    <cfRule type="expression" dxfId="90" priority="111" stopIfTrue="1">
      <formula>AZ$1=TODAY()+DailyScrumDateModifier</formula>
    </cfRule>
    <cfRule type="expression" dxfId="89" priority="120" stopIfTrue="1">
      <formula>MOD(ROW(),2)</formula>
    </cfRule>
  </conditionalFormatting>
  <conditionalFormatting sqref="N22 AX22 AU22 AR22 AL22 AF22 AC22 Z22 W22 Q22 CB22 BY22 BV22 BS22 BP22 BM22 BJ22 BG22 BD22 BA22 K22 T22 AI22 AO22">
    <cfRule type="expression" dxfId="88" priority="112" stopIfTrue="1">
      <formula>J$1=TODAY()+DailyScrumDateModifier</formula>
    </cfRule>
    <cfRule type="expression" dxfId="87" priority="118" stopIfTrue="1">
      <formula>MOD(ROW(),2)</formula>
    </cfRule>
  </conditionalFormatting>
  <conditionalFormatting sqref="CE22 H22:I22 C22 E22">
    <cfRule type="expression" dxfId="86" priority="113" stopIfTrue="1">
      <formula>MOD(ROW(),2)</formula>
    </cfRule>
  </conditionalFormatting>
  <conditionalFormatting sqref="CC22 BZ22 BW22 BT22 BQ22 BN22 BK22 BH22 BE22 BB22 X22 U22 R22 O22 AY22 AV22 AS22 AP22 AM22 AJ22 AG22 AD22 AA22 L22">
    <cfRule type="cellIs" dxfId="85" priority="114" stopIfTrue="1" operator="equal">
      <formula>"In Progress"</formula>
    </cfRule>
    <cfRule type="cellIs" dxfId="84" priority="114" stopIfTrue="1" operator="equal">
      <formula>"Pending"</formula>
    </cfRule>
    <cfRule type="cellIs" dxfId="83" priority="115" stopIfTrue="1" operator="equal">
      <formula>"Complete"</formula>
    </cfRule>
  </conditionalFormatting>
  <conditionalFormatting sqref="G22">
    <cfRule type="cellIs" dxfId="82" priority="168" stopIfTrue="1" operator="equal">
      <formula>"In Progress"</formula>
    </cfRule>
    <cfRule type="cellIs" dxfId="81" priority="168" stopIfTrue="1" operator="equal">
      <formula>"Pending"</formula>
    </cfRule>
    <cfRule type="cellIs" dxfId="80" priority="168" stopIfTrue="1" operator="equal">
      <formula>"Complete"</formula>
    </cfRule>
  </conditionalFormatting>
  <conditionalFormatting sqref="CA21 BX21 BU21 BR21 BO21 BL21 BI21 BF21 BC21 AZ21">
    <cfRule type="expression" dxfId="79" priority="100" stopIfTrue="1">
      <formula>AZ$1=TODAY()+DailyScrumDateModifier</formula>
    </cfRule>
    <cfRule type="expression" dxfId="78" priority="106" stopIfTrue="1">
      <formula>MOD(ROW(),2)</formula>
    </cfRule>
  </conditionalFormatting>
  <conditionalFormatting sqref="N21 AX21 AU21 AR21 AL21 AF21 AC21 Z21 W21 Q21 CB21 BY21 BV21 BS21 BP21 BM21 BJ21 BG21 BD21 BA21 K21 T21 AI21 AO21">
    <cfRule type="expression" dxfId="77" priority="101" stopIfTrue="1">
      <formula>J$1=TODAY()+DailyScrumDateModifier</formula>
    </cfRule>
    <cfRule type="expression" dxfId="76" priority="105" stopIfTrue="1">
      <formula>MOD(ROW(),2)</formula>
    </cfRule>
  </conditionalFormatting>
  <conditionalFormatting sqref="CE21 H21:I21 C21 E21">
    <cfRule type="expression" dxfId="75" priority="102" stopIfTrue="1">
      <formula>MOD(ROW(),2)</formula>
    </cfRule>
  </conditionalFormatting>
  <conditionalFormatting sqref="CC21 BZ21 BW21 BT21 BQ21 BN21 BK21 BH21 BE21 BB21 X21 U21 R21 O21 AY21 AV21 AS21 AP21 AM21 AJ21 AG21 AD21 AA21 L21">
    <cfRule type="cellIs" dxfId="74" priority="103" stopIfTrue="1" operator="equal">
      <formula>"In Progress"</formula>
    </cfRule>
    <cfRule type="cellIs" dxfId="73" priority="104" stopIfTrue="1" operator="equal">
      <formula>"Complete"</formula>
    </cfRule>
  </conditionalFormatting>
  <conditionalFormatting sqref="CA20 BX20 BU20 BR20 BO20 BL20 BI20 BF20 BC20 AZ20">
    <cfRule type="expression" dxfId="72" priority="89" stopIfTrue="1">
      <formula>AZ$1=TODAY()+DailyScrumDateModifier</formula>
    </cfRule>
    <cfRule type="expression" dxfId="71" priority="95" stopIfTrue="1">
      <formula>MOD(ROW(),2)</formula>
    </cfRule>
  </conditionalFormatting>
  <conditionalFormatting sqref="N20 AX20 AU20 AR20 AL20 AF20 AC20 Z20 W20 Q20 CB20 BY20 BV20 BS20 BP20 BM20 BJ20 BG20 BD20 BA20 K20 T20 AI20 AO20">
    <cfRule type="expression" dxfId="70" priority="90" stopIfTrue="1">
      <formula>J$1=TODAY()+DailyScrumDateModifier</formula>
    </cfRule>
    <cfRule type="expression" dxfId="69" priority="94" stopIfTrue="1">
      <formula>MOD(ROW(),2)</formula>
    </cfRule>
  </conditionalFormatting>
  <conditionalFormatting sqref="CE20 H20:I20 C20 E20">
    <cfRule type="expression" dxfId="68" priority="91" stopIfTrue="1">
      <formula>MOD(ROW(),2)</formula>
    </cfRule>
  </conditionalFormatting>
  <conditionalFormatting sqref="CC20 BZ20 BW20 BT20 BQ20 BN20 BK20 BH20 BE20 BB20 X20 U20 R20 O20 AY20 AV20 AS20 AP20 AM20 AJ20 AG20 AD20 AA20 L20">
    <cfRule type="cellIs" dxfId="67" priority="92" stopIfTrue="1" operator="equal">
      <formula>"Pending"</formula>
    </cfRule>
    <cfRule type="cellIs" dxfId="66" priority="92" stopIfTrue="1" operator="equal">
      <formula>"In Progress"</formula>
    </cfRule>
    <cfRule type="cellIs" dxfId="65" priority="93" stopIfTrue="1" operator="equal">
      <formula>"Complete"</formula>
    </cfRule>
  </conditionalFormatting>
  <conditionalFormatting sqref="G20">
    <cfRule type="cellIs" dxfId="64" priority="169" stopIfTrue="1" operator="equal">
      <formula>"In Progress"</formula>
    </cfRule>
    <cfRule type="cellIs" dxfId="63" priority="169" stopIfTrue="1" operator="equal">
      <formula>"Pending"</formula>
    </cfRule>
    <cfRule type="cellIs" dxfId="62" priority="169" stopIfTrue="1" operator="equal">
      <formula>"Complete"</formula>
    </cfRule>
  </conditionalFormatting>
  <conditionalFormatting sqref="CA19 BX19 BU19 BR19 BO19 BL19 BI19 BF19 BC19 AZ19">
    <cfRule type="expression" dxfId="61" priority="34" stopIfTrue="1">
      <formula>AZ$1=TODAY()+DailyScrumDateModifier</formula>
    </cfRule>
    <cfRule type="expression" dxfId="60" priority="40" stopIfTrue="1">
      <formula>MOD(ROW(),2)</formula>
    </cfRule>
  </conditionalFormatting>
  <conditionalFormatting sqref="N19 AX19 AU19 AR19 AL19 AF19 AC19 Z19 W19 Q19 CB19 BY19 BV19 BS19 BP19 BM19 BJ19 BG19 BD19 BA19 K19 T19 AI19 AO19">
    <cfRule type="expression" dxfId="59" priority="35" stopIfTrue="1">
      <formula>J$1=TODAY()+DailyScrumDateModifier</formula>
    </cfRule>
    <cfRule type="expression" dxfId="58" priority="39" stopIfTrue="1">
      <formula>MOD(ROW(),2)</formula>
    </cfRule>
  </conditionalFormatting>
  <conditionalFormatting sqref="CE19 H19:I19 C19 E19">
    <cfRule type="expression" dxfId="57" priority="36" stopIfTrue="1">
      <formula>MOD(ROW(),2)</formula>
    </cfRule>
  </conditionalFormatting>
  <conditionalFormatting sqref="CC19 BZ19 BW19 BT19 BQ19 BN19 BK19 BH19 BE19 BB19 X19 U19 R19 O19 AY19 AV19 AS19 AP19 AM19 AJ19 AG19 AD19 AA19 L19">
    <cfRule type="cellIs" dxfId="56" priority="37" stopIfTrue="1" operator="equal">
      <formula>"Pending"</formula>
    </cfRule>
    <cfRule type="cellIs" dxfId="55" priority="38" stopIfTrue="1" operator="equal">
      <formula>"Complete"</formula>
    </cfRule>
  </conditionalFormatting>
  <conditionalFormatting sqref="CA18 BX18 BU18 BR18 BO18 BL18 BI18 BF18 BC18 AZ18">
    <cfRule type="expression" dxfId="54" priority="23" stopIfTrue="1">
      <formula>AZ$1=TODAY()+DailyScrumDateModifier</formula>
    </cfRule>
    <cfRule type="expression" dxfId="53" priority="29" stopIfTrue="1">
      <formula>MOD(ROW(),2)</formula>
    </cfRule>
  </conditionalFormatting>
  <conditionalFormatting sqref="N18 AX18 AU18 AR18 AL18 AF18 AC18 Z18 W18 Q18 CB18 BY18 BV18 BS18 BP18 BM18 BJ18 BG18 BD18 BA18 K18 T18 AI18 AO18">
    <cfRule type="expression" dxfId="52" priority="24" stopIfTrue="1">
      <formula>J$1=TODAY()+DailyScrumDateModifier</formula>
    </cfRule>
    <cfRule type="expression" dxfId="51" priority="28" stopIfTrue="1">
      <formula>MOD(ROW(),2)</formula>
    </cfRule>
  </conditionalFormatting>
  <conditionalFormatting sqref="CE18 H18:I18 C18 E18">
    <cfRule type="expression" dxfId="50" priority="25" stopIfTrue="1">
      <formula>MOD(ROW(),2)</formula>
    </cfRule>
  </conditionalFormatting>
  <conditionalFormatting sqref="CC18 BZ18 BW18 BT18 BQ18 BN18 BK18 BH18 BE18 BB18 X18 U18 R18 O18 AY18 AV18 AS18 AP18 AM18 AJ18 AG18 AD18 AA18 L18">
    <cfRule type="cellIs" dxfId="49" priority="26" stopIfTrue="1" operator="equal">
      <formula>"In Progress"</formula>
    </cfRule>
    <cfRule type="cellIs" dxfId="48" priority="26" stopIfTrue="1" operator="equal">
      <formula>"Pending"</formula>
    </cfRule>
    <cfRule type="cellIs" dxfId="47" priority="27" stopIfTrue="1" operator="equal">
      <formula>"Complete"</formula>
    </cfRule>
  </conditionalFormatting>
  <conditionalFormatting sqref="G18">
    <cfRule type="cellIs" dxfId="46" priority="170" stopIfTrue="1" operator="equal">
      <formula>"Pending"</formula>
    </cfRule>
    <cfRule type="cellIs" dxfId="45" priority="170" stopIfTrue="1" operator="equal">
      <formula>"Complete"</formula>
    </cfRule>
    <cfRule type="cellIs" dxfId="44" priority="30" stopIfTrue="1" operator="equal">
      <formula>"In Progress"</formula>
    </cfRule>
  </conditionalFormatting>
  <conditionalFormatting sqref="CA17 BX17 BU17 BR17 BO17 BL17 BI17 BF17 BC17 AZ17">
    <cfRule type="expression" dxfId="43" priority="12" stopIfTrue="1">
      <formula>AZ$1=TODAY()+DailyScrumDateModifier</formula>
    </cfRule>
    <cfRule type="expression" dxfId="42" priority="18" stopIfTrue="1">
      <formula>MOD(ROW(),2)</formula>
    </cfRule>
  </conditionalFormatting>
  <conditionalFormatting sqref="N17 AX17 AU17 AR17 AL17 AF17 AC17 Z17 W17 Q17 CB17 BY17 BV17 BS17 BP17 BM17 BJ17 BG17 BD17 BA17 K17 T17 AI17 AO17">
    <cfRule type="expression" dxfId="41" priority="13" stopIfTrue="1">
      <formula>J$1=TODAY()+DailyScrumDateModifier</formula>
    </cfRule>
    <cfRule type="expression" dxfId="40" priority="17" stopIfTrue="1">
      <formula>MOD(ROW(),2)</formula>
    </cfRule>
  </conditionalFormatting>
  <conditionalFormatting sqref="CE17 H17:I17 C17 E17">
    <cfRule type="expression" dxfId="39" priority="14" stopIfTrue="1">
      <formula>MOD(ROW(),2)</formula>
    </cfRule>
  </conditionalFormatting>
  <conditionalFormatting sqref="CC17 BZ17 BW17 BT17 BQ17 BN17 BK17 BH17 BE17 BB17 X17 U17 R17 O17 AY17 AV17 AS17 AP17 AM17 AJ17 AG17 AD17 AA17 L17">
    <cfRule type="cellIs" dxfId="38" priority="15" stopIfTrue="1" operator="equal">
      <formula>"In Progress"</formula>
    </cfRule>
    <cfRule type="cellIs" dxfId="37" priority="16" stopIfTrue="1" operator="equal">
      <formula>"Complete"</formula>
    </cfRule>
  </conditionalFormatting>
  <conditionalFormatting sqref="CA16 BX16 BU16 BR16 BO16 BL16 BI16 BF16 BC16 AZ16 P29">
    <cfRule type="expression" dxfId="36" priority="1" stopIfTrue="1">
      <formula>P$1=TODAY()+DailyScrumDateModifier</formula>
    </cfRule>
    <cfRule type="expression" dxfId="35" priority="7" stopIfTrue="1">
      <formula>MOD(ROW(),2)</formula>
    </cfRule>
  </conditionalFormatting>
  <conditionalFormatting sqref="N16 AX16 AU16 AR16 AL16 AF16 AC16 Z16 W16 Q16 CB16 BY16 BV16 BS16 BP16 BM16 BJ16 BG16 BD16 BA16 K16 T16 AI16 AO16">
    <cfRule type="expression" dxfId="34" priority="2" stopIfTrue="1">
      <formula>J$1=TODAY()+DailyScrumDateModifier</formula>
    </cfRule>
    <cfRule type="expression" dxfId="33" priority="6" stopIfTrue="1">
      <formula>MOD(ROW(),2)</formula>
    </cfRule>
  </conditionalFormatting>
  <conditionalFormatting sqref="CE16 H16:I16 A16:C16 A17:B24 E16">
    <cfRule type="expression" dxfId="32" priority="3" stopIfTrue="1">
      <formula>MOD(ROW(),2)</formula>
    </cfRule>
  </conditionalFormatting>
  <conditionalFormatting sqref="CC16 BZ16 BW16 BT16 BQ16 BN16 BK16 BH16 BE16 BB16 X16 U16 R16 O16 AY16 AV16 AS16 AP16 AM16 AJ16 AG16 AD16 AA16 L16">
    <cfRule type="cellIs" dxfId="31" priority="4" stopIfTrue="1" operator="equal">
      <formula>"Pending"</formula>
    </cfRule>
    <cfRule type="cellIs" dxfId="30" priority="4" stopIfTrue="1" operator="equal">
      <formula>"In Progress"</formula>
    </cfRule>
    <cfRule type="cellIs" dxfId="29" priority="5" stopIfTrue="1" operator="equal">
      <formula>"Complete"</formula>
    </cfRule>
  </conditionalFormatting>
  <conditionalFormatting sqref="G16">
    <cfRule type="cellIs" dxfId="28" priority="171" stopIfTrue="1" operator="equal">
      <formula>"Pending"</formula>
    </cfRule>
    <cfRule type="cellIs" dxfId="27" priority="171" stopIfTrue="1" operator="equal">
      <formula>"Complete"</formula>
    </cfRule>
    <cfRule type="cellIs" dxfId="26" priority="8" stopIfTrue="1" operator="equal">
      <formula>"In Progress"</formula>
    </cfRule>
  </conditionalFormatting>
  <dataValidations count="3">
    <dataValidation type="list" allowBlank="1" showInputMessage="1" showErrorMessage="1" sqref="F4:F69">
      <formula1>Members</formula1>
    </dataValidation>
    <dataValidation type="list" allowBlank="1" showInputMessage="1" showErrorMessage="1" sqref="A4:A69">
      <formula1>Worktype</formula1>
    </dataValidation>
    <dataValidation type="list" allowBlank="1" showInputMessage="1" showErrorMessage="1" sqref="B4:B69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zoomScaleNormal="100" workbookViewId="0">
      <selection activeCell="U17" sqref="U17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Working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>INDEX(SprintDates,1,(E19-1)*BurndownColumns+1)</f>
        <v>42683</v>
      </c>
      <c r="F20" s="164">
        <f t="shared" ref="F20:R20" si="0">INDEX(SprintDates,1,(F19-1)*BurndownColumns+1)</f>
        <v>42684</v>
      </c>
      <c r="G20" s="164">
        <f t="shared" si="0"/>
        <v>42685</v>
      </c>
      <c r="H20" s="164">
        <f t="shared" si="0"/>
        <v>42688</v>
      </c>
      <c r="I20" s="164">
        <f t="shared" si="0"/>
        <v>42689</v>
      </c>
      <c r="J20" s="164">
        <f t="shared" si="0"/>
        <v>42690</v>
      </c>
      <c r="K20" s="164">
        <f t="shared" si="0"/>
        <v>42691</v>
      </c>
      <c r="L20" s="164">
        <f t="shared" si="0"/>
        <v>42692</v>
      </c>
      <c r="M20" s="164">
        <f t="shared" si="0"/>
        <v>42695</v>
      </c>
      <c r="N20" s="164">
        <f t="shared" si="0"/>
        <v>42696</v>
      </c>
      <c r="O20" s="164">
        <f t="shared" si="0"/>
        <v>42697</v>
      </c>
      <c r="P20" s="164">
        <f t="shared" si="0"/>
        <v>42698</v>
      </c>
      <c r="Q20" s="164">
        <f t="shared" si="0"/>
        <v>42699</v>
      </c>
      <c r="R20" s="164">
        <f t="shared" si="0"/>
        <v>42702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123</v>
      </c>
      <c r="F22" s="162">
        <f t="shared" ca="1" si="1"/>
        <v>109</v>
      </c>
      <c r="G22" s="162">
        <f t="shared" ca="1" si="1"/>
        <v>95</v>
      </c>
      <c r="H22" s="162">
        <f t="shared" ca="1" si="1"/>
        <v>81</v>
      </c>
      <c r="I22" s="162">
        <f t="shared" ca="1" si="1"/>
        <v>67</v>
      </c>
      <c r="J22" s="162">
        <f t="shared" ca="1" si="1"/>
        <v>54</v>
      </c>
      <c r="K22" s="162">
        <f t="shared" ca="1" si="1"/>
        <v>40</v>
      </c>
      <c r="L22" s="162">
        <f t="shared" ca="1" si="1"/>
        <v>28</v>
      </c>
      <c r="M22" s="162">
        <f t="shared" ca="1" si="1"/>
        <v>15</v>
      </c>
      <c r="N22" s="162">
        <f t="shared" ca="1" si="1"/>
        <v>0</v>
      </c>
      <c r="O22" s="162">
        <f t="shared" ca="1" si="1"/>
        <v>0</v>
      </c>
      <c r="P22" s="162">
        <f t="shared" ca="1" si="1"/>
        <v>0</v>
      </c>
      <c r="Q22" s="162">
        <f t="shared" ca="1" si="1"/>
        <v>0</v>
      </c>
      <c r="R22" s="162">
        <f t="shared" ca="1" si="1"/>
        <v>0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14</v>
      </c>
      <c r="F23" s="163">
        <f t="shared" ca="1" si="2"/>
        <v>14</v>
      </c>
      <c r="G23" s="163">
        <f t="shared" ca="1" si="2"/>
        <v>14</v>
      </c>
      <c r="H23" s="163">
        <f t="shared" ca="1" si="2"/>
        <v>14</v>
      </c>
      <c r="I23" s="163">
        <f t="shared" ca="1" si="2"/>
        <v>14</v>
      </c>
      <c r="J23" s="163">
        <f t="shared" ca="1" si="2"/>
        <v>13</v>
      </c>
      <c r="K23" s="163">
        <f t="shared" ca="1" si="2"/>
        <v>14</v>
      </c>
      <c r="L23" s="163">
        <f t="shared" ca="1" si="2"/>
        <v>12</v>
      </c>
      <c r="M23" s="163">
        <f t="shared" ca="1" si="2"/>
        <v>13</v>
      </c>
      <c r="N23" s="163">
        <f t="shared" ca="1" si="2"/>
        <v>15</v>
      </c>
      <c r="O23" s="163">
        <f t="shared" ca="1" si="2"/>
        <v>0</v>
      </c>
      <c r="P23" s="163">
        <f t="shared" ca="1" si="2"/>
        <v>0</v>
      </c>
      <c r="Q23" s="163">
        <f t="shared" ca="1" si="2"/>
        <v>0</v>
      </c>
      <c r="R23" s="163">
        <f t="shared" ca="1" si="2"/>
        <v>0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14</v>
      </c>
      <c r="F24" s="163">
        <f ca="1">IF(F20&gt;TODAY(), #N/A, SUM($E23:F23))</f>
        <v>28</v>
      </c>
      <c r="G24" s="163">
        <f ca="1">IF(G20&gt;TODAY(), #N/A, SUM($E23:G23))</f>
        <v>42</v>
      </c>
      <c r="H24" s="163">
        <f ca="1">IF(H20&gt;TODAY(), #N/A, SUM($E23:H23))</f>
        <v>56</v>
      </c>
      <c r="I24" s="163">
        <f ca="1">IF(I20&gt;TODAY(), #N/A, SUM($E23:I23))</f>
        <v>70</v>
      </c>
      <c r="J24" s="163">
        <f ca="1">IF(J20&gt;TODAY(), #N/A, SUM($E23:J23))</f>
        <v>83</v>
      </c>
      <c r="K24" s="163">
        <f ca="1">IF(K20&gt;TODAY(), #N/A, SUM($E23:K23))</f>
        <v>97</v>
      </c>
      <c r="L24" s="163">
        <f ca="1">IF(L20&gt;TODAY(), #N/A, SUM($E23:L23))</f>
        <v>109</v>
      </c>
      <c r="M24" s="163">
        <f ca="1">IF(M20&gt;TODAY(), #N/A, SUM($E23:M23))</f>
        <v>122</v>
      </c>
      <c r="N24" s="163">
        <f ca="1">IF(N20&gt;TODAY(), #N/A, SUM($E23:N23))</f>
        <v>137</v>
      </c>
      <c r="O24" s="163">
        <f ca="1">IF(O20&gt;TODAY(), #N/A, SUM($E23:O23))</f>
        <v>137</v>
      </c>
      <c r="P24" s="163">
        <f ca="1">IF(P20&gt;TODAY(), #N/A, SUM($E23:P23))</f>
        <v>137</v>
      </c>
      <c r="Q24" s="163">
        <f ca="1">IF(Q20&gt;TODAY(), #N/A, SUM($E23:Q23))</f>
        <v>137</v>
      </c>
      <c r="R24" s="163">
        <f ca="1">IF(R20&gt;TODAY(), #N/A, SUM($E23:R23))</f>
        <v>137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137</v>
      </c>
      <c r="F25" s="163">
        <f t="shared" ca="1" si="3"/>
        <v>137</v>
      </c>
      <c r="G25" s="163">
        <f t="shared" ca="1" si="3"/>
        <v>137</v>
      </c>
      <c r="H25" s="163">
        <f t="shared" ca="1" si="3"/>
        <v>137</v>
      </c>
      <c r="I25" s="163">
        <f t="shared" ca="1" si="3"/>
        <v>137</v>
      </c>
      <c r="J25" s="163">
        <f t="shared" ca="1" si="3"/>
        <v>137</v>
      </c>
      <c r="K25" s="163">
        <f t="shared" ca="1" si="3"/>
        <v>137</v>
      </c>
      <c r="L25" s="163">
        <f t="shared" ca="1" si="3"/>
        <v>137</v>
      </c>
      <c r="M25" s="163">
        <f t="shared" ca="1" si="3"/>
        <v>137</v>
      </c>
      <c r="N25" s="163">
        <f t="shared" ca="1" si="3"/>
        <v>137</v>
      </c>
      <c r="O25" s="163">
        <f t="shared" ca="1" si="3"/>
        <v>137</v>
      </c>
      <c r="P25" s="163">
        <f t="shared" ca="1" si="3"/>
        <v>137</v>
      </c>
      <c r="Q25" s="163">
        <f t="shared" ca="1" si="3"/>
        <v>137</v>
      </c>
      <c r="R25" s="163">
        <f t="shared" ca="1" si="3"/>
        <v>137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14</v>
      </c>
      <c r="F27" s="168">
        <f t="shared" ca="1" si="4"/>
        <v>14</v>
      </c>
      <c r="G27" s="168">
        <f t="shared" ca="1" si="4"/>
        <v>14</v>
      </c>
      <c r="H27" s="168">
        <f t="shared" ca="1" si="4"/>
        <v>14</v>
      </c>
      <c r="I27" s="168">
        <f t="shared" ca="1" si="4"/>
        <v>14</v>
      </c>
      <c r="J27" s="168">
        <f t="shared" ca="1" si="4"/>
        <v>13.833333333333334</v>
      </c>
      <c r="K27" s="168">
        <f t="shared" ca="1" si="4"/>
        <v>13.857142857142858</v>
      </c>
      <c r="L27" s="168">
        <f t="shared" ca="1" si="4"/>
        <v>13.625</v>
      </c>
      <c r="M27" s="168">
        <f t="shared" ca="1" si="4"/>
        <v>13.555555555555555</v>
      </c>
      <c r="N27" s="168">
        <f t="shared" ca="1" si="4"/>
        <v>13.7</v>
      </c>
      <c r="O27" s="168">
        <f t="shared" ca="1" si="4"/>
        <v>12.454545454545455</v>
      </c>
      <c r="P27" s="168">
        <f t="shared" ca="1" si="4"/>
        <v>11.416666666666666</v>
      </c>
      <c r="Q27" s="168">
        <f t="shared" ca="1" si="4"/>
        <v>10.538461538461538</v>
      </c>
      <c r="R27" s="168">
        <f t="shared" ca="1" si="4"/>
        <v>9.7857142857142865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42691.785714285717</v>
      </c>
      <c r="F28" s="169">
        <f t="shared" ca="1" si="5"/>
        <v>42691.785714285717</v>
      </c>
      <c r="G28" s="169">
        <f t="shared" ca="1" si="5"/>
        <v>42691.785714285717</v>
      </c>
      <c r="H28" s="169">
        <f t="shared" ca="1" si="5"/>
        <v>42693.785714285717</v>
      </c>
      <c r="I28" s="169">
        <f t="shared" ca="1" si="5"/>
        <v>42693.785714285717</v>
      </c>
      <c r="J28" s="169">
        <f t="shared" ca="1" si="5"/>
        <v>42693.903614457835</v>
      </c>
      <c r="K28" s="169">
        <f t="shared" ca="1" si="5"/>
        <v>42693.886597938144</v>
      </c>
      <c r="L28" s="169">
        <f t="shared" ca="1" si="5"/>
        <v>42694.055045871559</v>
      </c>
      <c r="M28" s="169">
        <f t="shared" ca="1" si="5"/>
        <v>42696.106557377047</v>
      </c>
      <c r="N28" s="169">
        <f t="shared" ca="1" si="5"/>
        <v>42696</v>
      </c>
      <c r="O28" s="169">
        <f t="shared" ca="1" si="5"/>
        <v>42697</v>
      </c>
      <c r="P28" s="169">
        <f t="shared" ca="1" si="5"/>
        <v>42698</v>
      </c>
      <c r="Q28" s="169">
        <f t="shared" ca="1" si="5"/>
        <v>42699</v>
      </c>
      <c r="R28" s="169">
        <f t="shared" ca="1" si="5"/>
        <v>42702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42683</v>
      </c>
      <c r="F29" s="169">
        <f t="shared" ca="1" si="6"/>
        <v>42691.785714285717</v>
      </c>
      <c r="G29" s="169">
        <f t="shared" ca="1" si="6"/>
        <v>42695.7</v>
      </c>
      <c r="H29" s="169">
        <f t="shared" ca="1" si="6"/>
        <v>42696.42105263158</v>
      </c>
      <c r="I29" s="169">
        <f t="shared" ca="1" si="6"/>
        <v>42698.707317073167</v>
      </c>
      <c r="J29" s="169">
        <f t="shared" ca="1" si="6"/>
        <v>42693.260273972606</v>
      </c>
      <c r="K29" s="169">
        <f t="shared" ca="1" si="6"/>
        <v>42693.416666666664</v>
      </c>
      <c r="L29" s="169">
        <f t="shared" ca="1" si="6"/>
        <v>42693.784946236556</v>
      </c>
      <c r="M29" s="169">
        <f t="shared" ca="1" si="6"/>
        <v>42693.855769230766</v>
      </c>
      <c r="N29" s="169">
        <f t="shared" ca="1" si="6"/>
        <v>42692</v>
      </c>
      <c r="O29" s="169">
        <f t="shared" ca="1" si="6"/>
        <v>42693</v>
      </c>
      <c r="P29" s="169">
        <f t="shared" ca="1" si="6"/>
        <v>42694</v>
      </c>
      <c r="Q29" s="169">
        <f t="shared" ca="1" si="6"/>
        <v>42695</v>
      </c>
      <c r="R29" s="169">
        <f t="shared" ca="1" si="6"/>
        <v>42696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109</v>
      </c>
      <c r="F31" s="165">
        <f t="shared" ca="1" si="7"/>
        <v>109</v>
      </c>
      <c r="G31" s="165">
        <f t="shared" ca="1" si="7"/>
        <v>70</v>
      </c>
      <c r="H31" s="165">
        <f t="shared" ca="1" si="7"/>
        <v>67</v>
      </c>
      <c r="I31" s="165">
        <f t="shared" ca="1" si="7"/>
        <v>53</v>
      </c>
      <c r="J31" s="165">
        <f t="shared" ca="1" si="7"/>
        <v>38</v>
      </c>
      <c r="K31" s="165">
        <f t="shared" ca="1" si="7"/>
        <v>25</v>
      </c>
      <c r="L31" s="165">
        <f t="shared" ca="1" si="7"/>
        <v>16</v>
      </c>
      <c r="M31" s="165">
        <f t="shared" ca="1" si="7"/>
        <v>0</v>
      </c>
      <c r="N31" s="165">
        <f t="shared" ca="1" si="7"/>
        <v>0</v>
      </c>
      <c r="O31" s="165">
        <f t="shared" ca="1" si="7"/>
        <v>0</v>
      </c>
      <c r="P31" s="165">
        <f t="shared" ca="1" si="7"/>
        <v>0</v>
      </c>
      <c r="Q31" s="165">
        <f t="shared" ca="1" si="7"/>
        <v>0</v>
      </c>
      <c r="R31" s="165">
        <f t="shared" ca="1" si="7"/>
        <v>0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28</v>
      </c>
      <c r="F32" s="170">
        <f t="shared" ca="1" si="8"/>
        <v>0</v>
      </c>
      <c r="G32" s="170">
        <f t="shared" ca="1" si="8"/>
        <v>37</v>
      </c>
      <c r="H32" s="170">
        <f t="shared" ca="1" si="8"/>
        <v>32</v>
      </c>
      <c r="I32" s="170">
        <f t="shared" ca="1" si="8"/>
        <v>43</v>
      </c>
      <c r="J32" s="170">
        <f t="shared" ca="1" si="8"/>
        <v>26</v>
      </c>
      <c r="K32" s="170">
        <f t="shared" ca="1" si="8"/>
        <v>28</v>
      </c>
      <c r="L32" s="170">
        <f t="shared" ca="1" si="8"/>
        <v>28</v>
      </c>
      <c r="M32" s="170">
        <f t="shared" ca="1" si="8"/>
        <v>33</v>
      </c>
      <c r="N32" s="170">
        <f t="shared" ca="1" si="8"/>
        <v>0</v>
      </c>
      <c r="O32" s="170">
        <f t="shared" ca="1" si="8"/>
        <v>0</v>
      </c>
      <c r="P32" s="170">
        <f t="shared" ca="1" si="8"/>
        <v>0</v>
      </c>
      <c r="Q32" s="170">
        <f t="shared" ca="1" si="8"/>
        <v>0</v>
      </c>
      <c r="R32" s="170">
        <f t="shared" ca="1" si="8"/>
        <v>0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28</v>
      </c>
      <c r="G33" s="165">
        <f t="shared" ca="1" si="9"/>
        <v>30</v>
      </c>
      <c r="H33" s="165">
        <f t="shared" ca="1" si="9"/>
        <v>38</v>
      </c>
      <c r="I33" s="165">
        <f t="shared" ca="1" si="9"/>
        <v>41</v>
      </c>
      <c r="J33" s="165">
        <f t="shared" ca="1" si="9"/>
        <v>73</v>
      </c>
      <c r="K33" s="165">
        <f t="shared" ca="1" si="9"/>
        <v>84</v>
      </c>
      <c r="L33" s="165">
        <f t="shared" ca="1" si="9"/>
        <v>93</v>
      </c>
      <c r="M33" s="165">
        <f t="shared" ca="1" si="9"/>
        <v>104</v>
      </c>
      <c r="N33" s="165">
        <f t="shared" ca="1" si="9"/>
        <v>137</v>
      </c>
      <c r="O33" s="165">
        <f t="shared" ca="1" si="9"/>
        <v>137</v>
      </c>
      <c r="P33" s="165">
        <f t="shared" ca="1" si="9"/>
        <v>137</v>
      </c>
      <c r="Q33" s="165">
        <f t="shared" ca="1" si="9"/>
        <v>137</v>
      </c>
      <c r="R33" s="165">
        <f t="shared" ca="1" si="9"/>
        <v>137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59</v>
      </c>
      <c r="F35" s="165">
        <f t="shared" ca="1" si="10"/>
        <v>59</v>
      </c>
      <c r="G35" s="165">
        <f t="shared" ca="1" si="10"/>
        <v>52</v>
      </c>
      <c r="H35" s="165">
        <f t="shared" ca="1" si="10"/>
        <v>51</v>
      </c>
      <c r="I35" s="165">
        <f t="shared" ca="1" si="10"/>
        <v>48</v>
      </c>
      <c r="J35" s="165">
        <f t="shared" ca="1" si="10"/>
        <v>45</v>
      </c>
      <c r="K35" s="165">
        <f t="shared" ca="1" si="10"/>
        <v>43</v>
      </c>
      <c r="L35" s="165">
        <f t="shared" ca="1" si="10"/>
        <v>41</v>
      </c>
      <c r="M35" s="165">
        <f t="shared" ca="1" si="10"/>
        <v>37</v>
      </c>
      <c r="N35" s="165">
        <f t="shared" ca="1" si="10"/>
        <v>37</v>
      </c>
      <c r="O35" s="165">
        <f t="shared" ca="1" si="10"/>
        <v>37</v>
      </c>
      <c r="P35" s="165">
        <f t="shared" ca="1" si="10"/>
        <v>37</v>
      </c>
      <c r="Q35" s="165">
        <f t="shared" ca="1" si="10"/>
        <v>37</v>
      </c>
      <c r="R35" s="165">
        <f t="shared" ca="1" si="10"/>
        <v>37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7</v>
      </c>
      <c r="F36" s="165">
        <f t="shared" ca="1" si="11"/>
        <v>0</v>
      </c>
      <c r="G36" s="165">
        <f t="shared" ca="1" si="11"/>
        <v>6</v>
      </c>
      <c r="H36" s="165">
        <f t="shared" ca="1" si="11"/>
        <v>5</v>
      </c>
      <c r="I36" s="165">
        <f t="shared" ca="1" si="11"/>
        <v>7</v>
      </c>
      <c r="J36" s="165">
        <f t="shared" ca="1" si="11"/>
        <v>5</v>
      </c>
      <c r="K36" s="165">
        <f t="shared" ca="1" si="11"/>
        <v>5</v>
      </c>
      <c r="L36" s="165">
        <f t="shared" ca="1" si="11"/>
        <v>5</v>
      </c>
      <c r="M36" s="165">
        <f t="shared" ca="1" si="11"/>
        <v>7</v>
      </c>
      <c r="N36" s="165">
        <f t="shared" ca="1" si="11"/>
        <v>0</v>
      </c>
      <c r="O36" s="165">
        <f t="shared" ca="1" si="11"/>
        <v>0</v>
      </c>
      <c r="P36" s="165">
        <f t="shared" ca="1" si="11"/>
        <v>0</v>
      </c>
      <c r="Q36" s="165">
        <f t="shared" ca="1" si="11"/>
        <v>0</v>
      </c>
      <c r="R36" s="165">
        <f t="shared" ca="1" si="11"/>
        <v>0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7</v>
      </c>
      <c r="G37" s="165">
        <f t="shared" ca="1" si="12"/>
        <v>8</v>
      </c>
      <c r="H37" s="165">
        <f t="shared" ca="1" si="12"/>
        <v>10</v>
      </c>
      <c r="I37" s="165">
        <f t="shared" ca="1" si="12"/>
        <v>11</v>
      </c>
      <c r="J37" s="165">
        <f t="shared" ca="1" si="12"/>
        <v>16</v>
      </c>
      <c r="K37" s="165">
        <f t="shared" ca="1" si="12"/>
        <v>18</v>
      </c>
      <c r="L37" s="165">
        <f t="shared" ca="1" si="12"/>
        <v>20</v>
      </c>
      <c r="M37" s="165">
        <f t="shared" ca="1" si="12"/>
        <v>22</v>
      </c>
      <c r="N37" s="165">
        <f t="shared" ca="1" si="12"/>
        <v>29</v>
      </c>
      <c r="O37" s="165">
        <f t="shared" ca="1" si="12"/>
        <v>29</v>
      </c>
      <c r="P37" s="165">
        <f t="shared" ca="1" si="12"/>
        <v>29</v>
      </c>
      <c r="Q37" s="165">
        <f t="shared" ca="1" si="12"/>
        <v>29</v>
      </c>
      <c r="R37" s="165">
        <f t="shared" ca="1" si="12"/>
        <v>29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1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18" sqref="E1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42716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42683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7" t="s">
        <v>47</v>
      </c>
      <c r="C5" s="198"/>
      <c r="D5" s="198"/>
      <c r="E5" s="198"/>
      <c r="F5" s="198"/>
      <c r="G5" s="199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00"/>
      <c r="X6" s="201"/>
      <c r="Y6" s="201"/>
      <c r="Z6" s="201"/>
      <c r="AA6" s="201"/>
      <c r="AB6" s="202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6" t="s">
        <v>42</v>
      </c>
      <c r="X7" s="207"/>
      <c r="Y7" s="207"/>
      <c r="Z7" s="207"/>
      <c r="AA7" s="207"/>
      <c r="AB7" s="208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146</v>
      </c>
      <c r="F8" s="82">
        <v>1</v>
      </c>
      <c r="G8" s="83">
        <f>SUMIF(Sprint!$F$4:$F$1862,E8,Sprint!$AX$4:$AX$1862)</f>
        <v>0</v>
      </c>
      <c r="H8" s="84"/>
      <c r="I8" s="90">
        <f t="shared" ref="I8:J18" ca="1" si="2">IF(I$6&lt;$E$3,0,IF(ISBLANK($E8),0,IF(I$6&lt;$E$2,0,1)))</f>
        <v>1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3">
        <f t="shared" ref="W8:W25" ca="1" si="5">IF(E8="unassigned",0,(COUNTIF(I8:V8,1)*$C$6)*F8)</f>
        <v>8</v>
      </c>
      <c r="X8" s="204"/>
      <c r="Y8" s="204"/>
      <c r="Z8" s="204"/>
      <c r="AA8" s="204"/>
      <c r="AB8" s="205"/>
    </row>
    <row r="9" spans="2:28" ht="13.5" thickBot="1" x14ac:dyDescent="0.25">
      <c r="B9" s="87" t="s">
        <v>38</v>
      </c>
      <c r="C9" s="79">
        <f ca="1">SUM(W8:AB25)</f>
        <v>56</v>
      </c>
      <c r="D9" s="88"/>
      <c r="E9" s="18" t="s">
        <v>148</v>
      </c>
      <c r="F9" s="82">
        <v>1</v>
      </c>
      <c r="G9" s="83">
        <f>SUMIF(Sprint!$F$4:$F$1862,E9,Sprint!$AX$4:$AX$1862)</f>
        <v>0</v>
      </c>
      <c r="H9" s="84"/>
      <c r="I9" s="90">
        <f t="shared" ca="1" si="2"/>
        <v>1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3">
        <f t="shared" ca="1" si="5"/>
        <v>8</v>
      </c>
      <c r="X9" s="204"/>
      <c r="Y9" s="204"/>
      <c r="Z9" s="204"/>
      <c r="AA9" s="204"/>
      <c r="AB9" s="205"/>
    </row>
    <row r="10" spans="2:28" ht="13.5" thickBot="1" x14ac:dyDescent="0.25">
      <c r="B10" s="94" t="s">
        <v>39</v>
      </c>
      <c r="C10" s="95">
        <f ca="1">C8-C9</f>
        <v>-56</v>
      </c>
      <c r="D10" s="62"/>
      <c r="E10" s="18" t="s">
        <v>150</v>
      </c>
      <c r="F10" s="82">
        <v>1</v>
      </c>
      <c r="G10" s="83">
        <f>SUMIF(Sprint!$F$4:$F$1862,E10,Sprint!$AX$4:$AX$1862)</f>
        <v>0</v>
      </c>
      <c r="H10" s="84"/>
      <c r="I10" s="90">
        <f t="shared" ca="1" si="2"/>
        <v>1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3">
        <f t="shared" ca="1" si="5"/>
        <v>8</v>
      </c>
      <c r="X10" s="204"/>
      <c r="Y10" s="204"/>
      <c r="Z10" s="204"/>
      <c r="AA10" s="204"/>
      <c r="AB10" s="205"/>
    </row>
    <row r="11" spans="2:28" ht="13.5" thickBot="1" x14ac:dyDescent="0.25">
      <c r="B11" s="96"/>
      <c r="D11" s="97"/>
      <c r="E11" s="18" t="s">
        <v>152</v>
      </c>
      <c r="F11" s="82">
        <v>1</v>
      </c>
      <c r="G11" s="83">
        <f>SUMIF(Sprint!$F$4:$F$1862,E11,Sprint!$AX$4:$AX$1862)</f>
        <v>0</v>
      </c>
      <c r="H11" s="84"/>
      <c r="I11" s="90">
        <f t="shared" ca="1" si="2"/>
        <v>1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3">
        <f t="shared" ca="1" si="5"/>
        <v>8</v>
      </c>
      <c r="X11" s="204"/>
      <c r="Y11" s="204"/>
      <c r="Z11" s="204"/>
      <c r="AA11" s="204"/>
      <c r="AB11" s="205"/>
    </row>
    <row r="12" spans="2:28" ht="13.5" thickBot="1" x14ac:dyDescent="0.25">
      <c r="B12" s="96"/>
      <c r="D12" s="97"/>
      <c r="E12" s="18" t="s">
        <v>142</v>
      </c>
      <c r="F12" s="82">
        <v>1</v>
      </c>
      <c r="G12" s="83">
        <f>SUMIF(Sprint!$F$4:$F$1862,E12,Sprint!$AX$4:$AX$1862)</f>
        <v>0</v>
      </c>
      <c r="H12" s="84"/>
      <c r="I12" s="90">
        <f t="shared" ca="1" si="2"/>
        <v>1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3">
        <f t="shared" ca="1" si="5"/>
        <v>8</v>
      </c>
      <c r="X12" s="204"/>
      <c r="Y12" s="204"/>
      <c r="Z12" s="204"/>
      <c r="AA12" s="204"/>
      <c r="AB12" s="205"/>
    </row>
    <row r="13" spans="2:28" ht="13.5" thickBot="1" x14ac:dyDescent="0.25">
      <c r="B13" s="96"/>
      <c r="D13" s="98"/>
      <c r="E13" s="18" t="s">
        <v>144</v>
      </c>
      <c r="F13" s="82">
        <v>1</v>
      </c>
      <c r="G13" s="83">
        <f>SUMIF(Sprint!$F$4:$F$1862,E13,Sprint!$AX$4:$AX$1862)</f>
        <v>0</v>
      </c>
      <c r="H13" s="84"/>
      <c r="I13" s="90">
        <f t="shared" ca="1" si="2"/>
        <v>1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3">
        <f t="shared" ca="1" si="5"/>
        <v>8</v>
      </c>
      <c r="X13" s="204"/>
      <c r="Y13" s="204"/>
      <c r="Z13" s="204"/>
      <c r="AA13" s="204"/>
      <c r="AB13" s="205"/>
    </row>
    <row r="14" spans="2:28" ht="13.5" thickBot="1" x14ac:dyDescent="0.25">
      <c r="B14" s="96"/>
      <c r="D14" s="62"/>
      <c r="E14" s="18" t="s">
        <v>156</v>
      </c>
      <c r="F14" s="82">
        <v>1</v>
      </c>
      <c r="G14" s="83">
        <f>SUMIF(Sprint!$F$4:$F$1862,E14,Sprint!$AX$4:$AX$1862)</f>
        <v>0</v>
      </c>
      <c r="H14" s="84"/>
      <c r="I14" s="90">
        <f t="shared" ca="1" si="2"/>
        <v>1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3">
        <f t="shared" ca="1" si="5"/>
        <v>8</v>
      </c>
      <c r="X14" s="204"/>
      <c r="Y14" s="204"/>
      <c r="Z14" s="204"/>
      <c r="AA14" s="204"/>
      <c r="AB14" s="205"/>
    </row>
    <row r="15" spans="2:28" ht="13.5" thickBot="1" x14ac:dyDescent="0.25">
      <c r="B15" s="96"/>
      <c r="D15" s="62"/>
      <c r="E15" s="18"/>
      <c r="F15" s="89"/>
      <c r="G15" s="83">
        <f>SUMIF(Sprint!$F$4:$F$1862,E15,Sprint!$AX$4:$AX$1862)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3">
        <f t="shared" si="5"/>
        <v>0</v>
      </c>
      <c r="X15" s="204"/>
      <c r="Y15" s="204"/>
      <c r="Z15" s="204"/>
      <c r="AA15" s="204"/>
      <c r="AB15" s="205"/>
    </row>
    <row r="16" spans="2:28" ht="13.5" thickBot="1" x14ac:dyDescent="0.25">
      <c r="B16" s="96"/>
      <c r="D16" s="98"/>
      <c r="E16" s="18"/>
      <c r="F16" s="89"/>
      <c r="G16" s="83">
        <f>SUMIF(Sprint!$F$4:$F$1862,E16,Sprint!$AX$4:$AX$1862)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3">
        <f t="shared" si="5"/>
        <v>0</v>
      </c>
      <c r="X16" s="204"/>
      <c r="Y16" s="204"/>
      <c r="Z16" s="204"/>
      <c r="AA16" s="204"/>
      <c r="AB16" s="205"/>
    </row>
    <row r="17" spans="2:28" ht="13.5" thickBot="1" x14ac:dyDescent="0.25">
      <c r="B17" s="96"/>
      <c r="D17" s="98"/>
      <c r="E17" s="18"/>
      <c r="F17" s="89"/>
      <c r="G17" s="83">
        <f>SUMIF(Sprint!$F$4:$F$1862,E17,Sprint!$AX$4:$AX$1862)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3">
        <f t="shared" si="5"/>
        <v>0</v>
      </c>
      <c r="X17" s="204"/>
      <c r="Y17" s="204"/>
      <c r="Z17" s="204"/>
      <c r="AA17" s="204"/>
      <c r="AB17" s="205"/>
    </row>
    <row r="18" spans="2:28" ht="13.5" thickBot="1" x14ac:dyDescent="0.25">
      <c r="B18" s="96"/>
      <c r="D18" s="98"/>
      <c r="E18" s="18"/>
      <c r="F18" s="89"/>
      <c r="G18" s="83">
        <f>SUMIF(Sprint!$F$4:$F$1862,E18,Sprint!$AX$4:$AX$1862)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3">
        <f t="shared" si="5"/>
        <v>0</v>
      </c>
      <c r="X18" s="204"/>
      <c r="Y18" s="204"/>
      <c r="Z18" s="204"/>
      <c r="AA18" s="204"/>
      <c r="AB18" s="205"/>
    </row>
    <row r="19" spans="2:28" ht="13.5" thickBot="1" x14ac:dyDescent="0.25">
      <c r="B19" s="96"/>
      <c r="D19" s="98"/>
      <c r="E19" s="18"/>
      <c r="F19" s="89"/>
      <c r="G19" s="83">
        <f>SUMIF(Sprint!$F$4:$F$1862,E19,Sprint!$AX$4:$AX$1862)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3">
        <f t="shared" si="5"/>
        <v>0</v>
      </c>
      <c r="X19" s="204"/>
      <c r="Y19" s="204"/>
      <c r="Z19" s="204"/>
      <c r="AA19" s="204"/>
      <c r="AB19" s="205"/>
    </row>
    <row r="20" spans="2:28" ht="13.5" thickBot="1" x14ac:dyDescent="0.25">
      <c r="B20" s="96"/>
      <c r="D20" s="98"/>
      <c r="E20" s="18"/>
      <c r="F20" s="89"/>
      <c r="G20" s="83">
        <f>SUMIF(Sprint!$F$4:$F$1862,E20,Sprint!$AX$4:$AX$1862)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3">
        <f t="shared" si="5"/>
        <v>0</v>
      </c>
      <c r="X20" s="204"/>
      <c r="Y20" s="204"/>
      <c r="Z20" s="204"/>
      <c r="AA20" s="204"/>
      <c r="AB20" s="205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SUMIF(Sprint!$F$4:$F$1862,E21,Sprint!$AX$4:$AX$1862)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3">
        <f t="shared" si="5"/>
        <v>0</v>
      </c>
      <c r="X21" s="204"/>
      <c r="Y21" s="204"/>
      <c r="Z21" s="204"/>
      <c r="AA21" s="204"/>
      <c r="AB21" s="205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SUMIF(Sprint!$F$4:$F$1862,E22,Sprint!$AX$4:$AX$1862)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3">
        <f t="shared" si="5"/>
        <v>0</v>
      </c>
      <c r="X22" s="204"/>
      <c r="Y22" s="204"/>
      <c r="Z22" s="204"/>
      <c r="AA22" s="204"/>
      <c r="AB22" s="205"/>
    </row>
    <row r="23" spans="2:28" ht="13.5" thickBot="1" x14ac:dyDescent="0.25">
      <c r="B23" s="70"/>
      <c r="D23" s="98"/>
      <c r="E23" s="18"/>
      <c r="F23" s="102"/>
      <c r="G23" s="83">
        <f>SUMIF(Sprint!$F$4:$F$1862,E23,Sprint!$AX$4:$AX$1862)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3">
        <f t="shared" si="5"/>
        <v>0</v>
      </c>
      <c r="X23" s="204"/>
      <c r="Y23" s="204"/>
      <c r="Z23" s="204"/>
      <c r="AA23" s="204"/>
      <c r="AB23" s="205"/>
    </row>
    <row r="24" spans="2:28" ht="13.5" thickBot="1" x14ac:dyDescent="0.25">
      <c r="B24" s="96"/>
      <c r="D24" s="98"/>
      <c r="E24" s="18"/>
      <c r="F24" s="102"/>
      <c r="G24" s="83">
        <f>SUMIF(Sprint!$F$4:$F$1862,E24,Sprint!$AX$4:$AX$1862)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3">
        <f t="shared" si="5"/>
        <v>0</v>
      </c>
      <c r="X24" s="204"/>
      <c r="Y24" s="204"/>
      <c r="Z24" s="204"/>
      <c r="AA24" s="204"/>
      <c r="AB24" s="205"/>
    </row>
    <row r="25" spans="2:28" ht="13.5" thickBot="1" x14ac:dyDescent="0.25">
      <c r="B25" s="96"/>
      <c r="D25" s="98"/>
      <c r="E25" s="103"/>
      <c r="F25" s="104"/>
      <c r="G25" s="83">
        <f>SUMIF(Sprint!$F$4:$F$1862,E25,Sprint!$AX$4:$AX$1862)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3">
        <f t="shared" si="5"/>
        <v>0</v>
      </c>
      <c r="X25" s="204"/>
      <c r="Y25" s="204"/>
      <c r="Z25" s="204"/>
      <c r="AA25" s="204"/>
      <c r="AB25" s="205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L20" sqref="L20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145</v>
      </c>
      <c r="D8" s="189" t="s">
        <v>146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147</v>
      </c>
      <c r="D9" s="189" t="s">
        <v>148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149</v>
      </c>
      <c r="D10" s="190" t="s">
        <v>150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151</v>
      </c>
      <c r="D11" s="191" t="s">
        <v>152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153</v>
      </c>
      <c r="D12" s="191" t="s">
        <v>142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154</v>
      </c>
      <c r="D13" s="190" t="s">
        <v>144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155</v>
      </c>
      <c r="D14" s="190" t="s">
        <v>156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3"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COUNTIF(Sprint!$A$4:$A$100, "Feature")</f>
        <v>15</v>
      </c>
      <c r="C2" s="181">
        <f>B2/$B$6</f>
        <v>0.51724137931034486</v>
      </c>
    </row>
    <row r="3" spans="1:3" ht="15" x14ac:dyDescent="0.25">
      <c r="A3" s="174" t="s">
        <v>106</v>
      </c>
      <c r="B3" s="175">
        <f>COUNTIF(Sprint!$A$4:$A$100,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COUNTIF(Sprint!$A$4:$A$100, "Precondition")</f>
        <v>12</v>
      </c>
      <c r="C4" s="181">
        <f t="shared" si="0"/>
        <v>0.41379310344827586</v>
      </c>
    </row>
    <row r="5" spans="1:3" ht="15" x14ac:dyDescent="0.25">
      <c r="A5" s="174" t="s">
        <v>108</v>
      </c>
      <c r="B5" s="175">
        <f>COUNTIF(Sprint!$A$4:$A$100, "Spike")</f>
        <v>2</v>
      </c>
      <c r="C5" s="181">
        <f t="shared" si="0"/>
        <v>6.8965517241379309E-2</v>
      </c>
    </row>
    <row r="6" spans="1:3" ht="15" x14ac:dyDescent="0.25">
      <c r="A6" s="176" t="s">
        <v>128</v>
      </c>
      <c r="B6" s="182">
        <f>SUM(B2:B5)</f>
        <v>29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COUNTIF(Sprint!$B$4:$B$217, "Data Model")</f>
        <v>0</v>
      </c>
      <c r="C9" s="181">
        <f>B9/$B$25</f>
        <v>0</v>
      </c>
    </row>
    <row r="10" spans="1:3" ht="15" x14ac:dyDescent="0.25">
      <c r="A10" s="174" t="s">
        <v>111</v>
      </c>
      <c r="B10" s="175">
        <f>COUNTIF(Sprint!$B$4:$B$217,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COUNTIF(Sprint!$B$4:$B$217,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COUNTIF(Sprint!$B$4:$B$217, "Data Conversions")</f>
        <v>2</v>
      </c>
      <c r="C12" s="181">
        <f t="shared" ref="C12:C24" si="1">B12/$B$25</f>
        <v>6.8965517241379309E-2</v>
      </c>
    </row>
    <row r="13" spans="1:3" ht="15" x14ac:dyDescent="0.25">
      <c r="A13" s="174" t="s">
        <v>114</v>
      </c>
      <c r="B13" s="175">
        <f>COUNTIF(Sprint!$B$4:$B$217,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COUNTIF(Sprint!$B$4:$B$217,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COUNTIF(Sprint!$B$4:$B$217, "Views")</f>
        <v>0</v>
      </c>
      <c r="C15" s="181">
        <f t="shared" si="1"/>
        <v>0</v>
      </c>
    </row>
    <row r="16" spans="1:3" ht="15" x14ac:dyDescent="0.25">
      <c r="A16" s="174" t="s">
        <v>117</v>
      </c>
      <c r="B16" s="175">
        <f>COUNTIF(Sprint!$B$4:$B$217, "Lookups")</f>
        <v>9</v>
      </c>
      <c r="C16" s="181">
        <f t="shared" si="1"/>
        <v>0.31034482758620691</v>
      </c>
    </row>
    <row r="17" spans="1:3" ht="15" x14ac:dyDescent="0.25">
      <c r="A17" s="174" t="s">
        <v>118</v>
      </c>
      <c r="B17" s="175">
        <f>COUNTIF(Sprint!$B$4:$B$217,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COUNTIF(Sprint!$B$4:$B$217,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COUNTIF(Sprint!$B$4:$B$217,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COUNTIF(Sprint!$B$4:$B$217,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COUNTIF(Sprint!$B$4:$B$217, "Deployment")</f>
        <v>13</v>
      </c>
      <c r="C21" s="181">
        <f t="shared" si="1"/>
        <v>0.44827586206896552</v>
      </c>
    </row>
    <row r="22" spans="1:3" ht="15" x14ac:dyDescent="0.25">
      <c r="A22" s="174" t="s">
        <v>123</v>
      </c>
      <c r="B22" s="175">
        <f>COUNTIF(Sprint!$B$4:$B$217, "Documentation")</f>
        <v>1</v>
      </c>
      <c r="C22" s="181">
        <f t="shared" si="1"/>
        <v>3.4482758620689655E-2</v>
      </c>
    </row>
    <row r="23" spans="1:3" ht="15" x14ac:dyDescent="0.25">
      <c r="A23" s="174" t="s">
        <v>124</v>
      </c>
      <c r="B23" s="175">
        <f>COUNTIF(Sprint!$B$4:$B$217, "Testing")</f>
        <v>4</v>
      </c>
      <c r="C23" s="181">
        <f t="shared" si="1"/>
        <v>0.13793103448275862</v>
      </c>
    </row>
    <row r="24" spans="1:3" ht="15" x14ac:dyDescent="0.25">
      <c r="A24" s="174" t="s">
        <v>125</v>
      </c>
      <c r="B24" s="175">
        <f>COUNTIF(Sprint!$B$4:$B$217,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29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COUNTIF(Sprint!$G$4:$G$100, "Complete")</f>
        <v>0</v>
      </c>
      <c r="C28" s="181" t="e">
        <f ca="1">B28/$B$33</f>
        <v>#DIV/0!</v>
      </c>
    </row>
    <row r="29" spans="1:3" ht="15" x14ac:dyDescent="0.25">
      <c r="A29" s="174" t="s">
        <v>130</v>
      </c>
      <c r="B29" s="175">
        <f ca="1">COUNTIF(Sprint!$G$4:$G$100,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131</v>
      </c>
      <c r="B30" s="175">
        <f ca="1">COUNTIF(Sprint!$G$4:$G$100, "Pending")</f>
        <v>0</v>
      </c>
      <c r="C30" s="181" t="e">
        <f t="shared" ca="1" si="2"/>
        <v>#DIV/0!</v>
      </c>
    </row>
    <row r="31" spans="1:3" ht="15" x14ac:dyDescent="0.25">
      <c r="A31" s="174" t="s">
        <v>126</v>
      </c>
      <c r="B31" s="175">
        <f ca="1">COUNTIF(Sprint!$G$4:$G$100, "Postponed")</f>
        <v>0</v>
      </c>
      <c r="C31" s="181" t="e">
        <f t="shared" ca="1" si="2"/>
        <v>#DIV/0!</v>
      </c>
    </row>
    <row r="32" spans="1:3" ht="15" x14ac:dyDescent="0.25">
      <c r="A32" s="179" t="s">
        <v>132</v>
      </c>
      <c r="B32" s="175">
        <f ca="1">COUNTIF(Sprint!$G$4:$G$100, "Cancelled")</f>
        <v>0</v>
      </c>
      <c r="C32" s="181" t="e">
        <f t="shared" ca="1" si="2"/>
        <v>#DIV/0!</v>
      </c>
    </row>
    <row r="33" spans="1:3" ht="15" x14ac:dyDescent="0.25">
      <c r="A33" s="184" t="s">
        <v>128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2016-12-12T16:17:13Z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b67c9da1-9267-483c-b360-44df572f671f</vt:lpwstr>
  </property>
</Properties>
</file>