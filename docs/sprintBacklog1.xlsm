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3820"/>
  <bookViews>
    <workbookView xWindow="750" yWindow="1200" windowWidth="14640" windowHeight="6225" tabRatio="620"/>
  </bookViews>
  <sheets>
    <sheet name="Sprint" sheetId="7" r:id="rId1"/>
    <sheet name="Analysis" sheetId="8" r:id="rId2"/>
    <sheet name="Capacity" sheetId="6" r:id="rId3"/>
    <sheet name="Team Roster" sheetId="5" r:id="rId4"/>
    <sheet name="Project Specific Reports" sheetId="9" r:id="rId5"/>
  </sheets>
  <definedNames>
    <definedName name="_xlnm._FilterDatabase" localSheetId="0" hidden="1">Sprint!$C$3:$CE$33</definedName>
    <definedName name="Burndown" localSheetId="1">Sprint!$J$4:$CD$29</definedName>
    <definedName name="Burndown">Sprint!$J$4:$CD$29</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HoursLeftColumn" localSheetId="1">Analysis!$E$46</definedName>
    <definedName name="HoursLeftColumn">Analysis!$E$46</definedName>
    <definedName name="HoursSpentColumn" localSheetId="1">Analysis!$E$45</definedName>
    <definedName name="HoursSpentColumn">Analysis!$E$45</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Sprint!$CE$4:$CE$29</definedName>
    <definedName name="TotalEffort">Sprint!$CE$4:$CE$29</definedName>
    <definedName name="Worktype">'Project Specific Reports'!$A$2:$A$5</definedName>
    <definedName name="_xlnm.Print_Area" localSheetId="2">Capacity!$A$4:$AB$22</definedName>
  </definedNames>
  <calcPr calcId="145621"/>
</workbook>
</file>

<file path=xl/calcChain.xml><?xml version="1.0" encoding="utf-8"?>
<calcChain xmlns="http://schemas.openxmlformats.org/spreadsheetml/2006/main">
  <c r="N21" i="7" l="1"/>
  <c r="Q21" i="7" s="1"/>
  <c r="T21" i="7" s="1"/>
  <c r="W21" i="7" s="1"/>
  <c r="Z21" i="7" s="1"/>
  <c r="AC21" i="7" s="1"/>
  <c r="AF21" i="7" s="1"/>
  <c r="AI21" i="7" s="1"/>
  <c r="AL21" i="7" s="1"/>
  <c r="K22" i="7"/>
  <c r="L22" i="7" s="1"/>
  <c r="G22" i="7"/>
  <c r="K25" i="7"/>
  <c r="K26" i="7"/>
  <c r="K27" i="7"/>
  <c r="K28" i="7"/>
  <c r="CE29" i="7"/>
  <c r="O30" i="7"/>
  <c r="R30" i="7" s="1"/>
  <c r="U30" i="7" s="1"/>
  <c r="X30" i="7" s="1"/>
  <c r="AA30" i="7" s="1"/>
  <c r="AD30" i="7" s="1"/>
  <c r="AG30" i="7" s="1"/>
  <c r="AJ30" i="7" s="1"/>
  <c r="AM30" i="7" s="1"/>
  <c r="AP30" i="7" s="1"/>
  <c r="AS30" i="7" s="1"/>
  <c r="AV30" i="7" s="1"/>
  <c r="AY30" i="7" s="1"/>
  <c r="BB30" i="7"/>
  <c r="BE30" i="7" s="1"/>
  <c r="BH30" i="7" s="1"/>
  <c r="BK30" i="7" s="1"/>
  <c r="BN30" i="7" s="1"/>
  <c r="BQ30" i="7" s="1"/>
  <c r="BT30" i="7" s="1"/>
  <c r="BW30" i="7" s="1"/>
  <c r="BZ30" i="7" s="1"/>
  <c r="CC30" i="7" s="1"/>
  <c r="J34" i="7"/>
  <c r="M34" i="7"/>
  <c r="P34" i="7"/>
  <c r="S34" i="7"/>
  <c r="V34" i="7"/>
  <c r="Y34" i="7"/>
  <c r="AB34" i="7"/>
  <c r="AE34" i="7"/>
  <c r="AH34" i="7"/>
  <c r="AK34" i="7"/>
  <c r="AN34" i="7"/>
  <c r="AQ34" i="7"/>
  <c r="AT34" i="7"/>
  <c r="AW34" i="7"/>
  <c r="AZ34" i="7"/>
  <c r="BC34" i="7"/>
  <c r="BF34" i="7"/>
  <c r="BI34" i="7"/>
  <c r="BL34" i="7"/>
  <c r="BO34" i="7"/>
  <c r="BR34" i="7"/>
  <c r="BU34" i="7"/>
  <c r="BX34" i="7"/>
  <c r="CA34" i="7"/>
  <c r="I34" i="7"/>
  <c r="G4" i="7"/>
  <c r="K4" i="7"/>
  <c r="G5" i="7"/>
  <c r="K5" i="7"/>
  <c r="L5" i="7" s="1"/>
  <c r="G6" i="7"/>
  <c r="K6" i="7"/>
  <c r="L6" i="7" s="1"/>
  <c r="G7" i="7"/>
  <c r="K7" i="7"/>
  <c r="L7" i="7" s="1"/>
  <c r="G8" i="7"/>
  <c r="K8" i="7"/>
  <c r="L8" i="7" s="1"/>
  <c r="G9" i="7"/>
  <c r="K9" i="7"/>
  <c r="L9" i="7" s="1"/>
  <c r="N4" i="7" l="1"/>
  <c r="L4" i="7"/>
  <c r="N8" i="7"/>
  <c r="Q8" i="7" s="1"/>
  <c r="T8" i="7" s="1"/>
  <c r="W8" i="7" s="1"/>
  <c r="N7" i="7"/>
  <c r="Q7" i="7" s="1"/>
  <c r="T7" i="7" s="1"/>
  <c r="W7" i="7" s="1"/>
  <c r="N6" i="7"/>
  <c r="Q6" i="7" s="1"/>
  <c r="T6" i="7" s="1"/>
  <c r="W6" i="7" s="1"/>
  <c r="N9" i="7"/>
  <c r="Q9" i="7" s="1"/>
  <c r="T9" i="7" s="1"/>
  <c r="W9" i="7" s="1"/>
  <c r="N5" i="7"/>
  <c r="Q5" i="7" s="1"/>
  <c r="T5" i="7" s="1"/>
  <c r="W5" i="7" s="1"/>
  <c r="O7" i="7"/>
  <c r="J1" i="7"/>
  <c r="E20" i="8" s="1"/>
  <c r="O4" i="7" l="1"/>
  <c r="Q4" i="7"/>
  <c r="O8" i="7"/>
  <c r="O5" i="7"/>
  <c r="R5" i="7" s="1"/>
  <c r="O9" i="7"/>
  <c r="R9" i="7" s="1"/>
  <c r="O6" i="7"/>
  <c r="R6" i="7" s="1"/>
  <c r="U6" i="7" s="1"/>
  <c r="R7" i="7"/>
  <c r="BA16" i="7"/>
  <c r="BD16" i="7" s="1"/>
  <c r="BG16" i="7" s="1"/>
  <c r="BJ16" i="7" s="1"/>
  <c r="BM16" i="7" s="1"/>
  <c r="BP16" i="7" s="1"/>
  <c r="BS16" i="7" s="1"/>
  <c r="BV16" i="7" s="1"/>
  <c r="BY16" i="7" s="1"/>
  <c r="CB16" i="7" s="1"/>
  <c r="K16" i="7"/>
  <c r="L16" i="7" s="1"/>
  <c r="BA17" i="7"/>
  <c r="BD17" i="7" s="1"/>
  <c r="BG17" i="7" s="1"/>
  <c r="BJ17" i="7" s="1"/>
  <c r="BM17" i="7" s="1"/>
  <c r="BP17" i="7" s="1"/>
  <c r="BS17" i="7" s="1"/>
  <c r="BV17" i="7" s="1"/>
  <c r="BY17" i="7" s="1"/>
  <c r="CB17" i="7" s="1"/>
  <c r="K17" i="7"/>
  <c r="L17" i="7" s="1"/>
  <c r="BA18" i="7"/>
  <c r="BD18" i="7" s="1"/>
  <c r="BG18" i="7" s="1"/>
  <c r="BJ18" i="7" s="1"/>
  <c r="BM18" i="7" s="1"/>
  <c r="BP18" i="7" s="1"/>
  <c r="BS18" i="7" s="1"/>
  <c r="BV18" i="7" s="1"/>
  <c r="BY18" i="7" s="1"/>
  <c r="CB18" i="7" s="1"/>
  <c r="K18" i="7"/>
  <c r="L18" i="7" s="1"/>
  <c r="BA19" i="7"/>
  <c r="BD19" i="7" s="1"/>
  <c r="BG19" i="7" s="1"/>
  <c r="BJ19" i="7" s="1"/>
  <c r="BM19" i="7" s="1"/>
  <c r="BP19" i="7" s="1"/>
  <c r="BS19" i="7" s="1"/>
  <c r="BV19" i="7" s="1"/>
  <c r="BY19" i="7" s="1"/>
  <c r="CB19" i="7" s="1"/>
  <c r="K19" i="7"/>
  <c r="L19" i="7" s="1"/>
  <c r="R4" i="7" l="1"/>
  <c r="T4" i="7"/>
  <c r="R8" i="7"/>
  <c r="U8" i="7" s="1"/>
  <c r="X8" i="7" s="1"/>
  <c r="U7" i="7"/>
  <c r="X7" i="7" s="1"/>
  <c r="X6" i="7"/>
  <c r="U9" i="7"/>
  <c r="X9" i="7" s="1"/>
  <c r="U5" i="7"/>
  <c r="X5" i="7" s="1"/>
  <c r="N16" i="7"/>
  <c r="Q16" i="7" s="1"/>
  <c r="T16" i="7" s="1"/>
  <c r="W16" i="7" s="1"/>
  <c r="Z16" i="7" s="1"/>
  <c r="AC16" i="7" s="1"/>
  <c r="AF16" i="7" s="1"/>
  <c r="AI16" i="7" s="1"/>
  <c r="AL16" i="7" s="1"/>
  <c r="AO16" i="7" s="1"/>
  <c r="AR16" i="7" s="1"/>
  <c r="AU16" i="7" s="1"/>
  <c r="AX16" i="7" s="1"/>
  <c r="N17" i="7"/>
  <c r="Q17" i="7" s="1"/>
  <c r="T17" i="7" s="1"/>
  <c r="W17" i="7" s="1"/>
  <c r="Z17" i="7" s="1"/>
  <c r="AC17" i="7" s="1"/>
  <c r="AF17" i="7" s="1"/>
  <c r="AI17" i="7" s="1"/>
  <c r="AL17" i="7" s="1"/>
  <c r="AO17" i="7" s="1"/>
  <c r="AR17" i="7" s="1"/>
  <c r="AU17" i="7" s="1"/>
  <c r="AX17" i="7" s="1"/>
  <c r="N18" i="7"/>
  <c r="Q18" i="7" s="1"/>
  <c r="T18" i="7" s="1"/>
  <c r="W18" i="7" s="1"/>
  <c r="Z18" i="7" s="1"/>
  <c r="AC18" i="7" s="1"/>
  <c r="AF18" i="7" s="1"/>
  <c r="AI18" i="7" s="1"/>
  <c r="AL18" i="7" s="1"/>
  <c r="AO18" i="7" s="1"/>
  <c r="AR18" i="7" s="1"/>
  <c r="AU18" i="7" s="1"/>
  <c r="AX18" i="7" s="1"/>
  <c r="N19" i="7"/>
  <c r="Q19" i="7" s="1"/>
  <c r="T19" i="7" s="1"/>
  <c r="W19" i="7" s="1"/>
  <c r="Z19" i="7" s="1"/>
  <c r="AC19" i="7" s="1"/>
  <c r="AF19" i="7" s="1"/>
  <c r="AI19" i="7" s="1"/>
  <c r="AL19" i="7" s="1"/>
  <c r="AO19" i="7" s="1"/>
  <c r="AR19" i="7" s="1"/>
  <c r="AU19" i="7" s="1"/>
  <c r="AX19" i="7" s="1"/>
  <c r="BA20" i="7"/>
  <c r="BD20" i="7" s="1"/>
  <c r="BG20" i="7" s="1"/>
  <c r="BJ20" i="7" s="1"/>
  <c r="BM20" i="7" s="1"/>
  <c r="BP20" i="7" s="1"/>
  <c r="BS20" i="7" s="1"/>
  <c r="BV20" i="7" s="1"/>
  <c r="BY20" i="7" s="1"/>
  <c r="CB20" i="7" s="1"/>
  <c r="K20" i="7"/>
  <c r="L20" i="7" s="1"/>
  <c r="BA22" i="7"/>
  <c r="BD22" i="7" s="1"/>
  <c r="BG22" i="7" s="1"/>
  <c r="BJ22" i="7" s="1"/>
  <c r="BM22" i="7" s="1"/>
  <c r="BP22" i="7" s="1"/>
  <c r="BS22" i="7" s="1"/>
  <c r="BV22" i="7" s="1"/>
  <c r="BY22" i="7" s="1"/>
  <c r="CB22" i="7" s="1"/>
  <c r="BA23" i="7"/>
  <c r="BD23" i="7" s="1"/>
  <c r="BG23" i="7" s="1"/>
  <c r="BJ23" i="7" s="1"/>
  <c r="BM23" i="7" s="1"/>
  <c r="BP23" i="7" s="1"/>
  <c r="BS23" i="7" s="1"/>
  <c r="BV23" i="7" s="1"/>
  <c r="BY23" i="7" s="1"/>
  <c r="CB23" i="7" s="1"/>
  <c r="L23" i="7"/>
  <c r="BA24" i="7"/>
  <c r="BD24" i="7" s="1"/>
  <c r="BG24" i="7" s="1"/>
  <c r="BJ24" i="7" s="1"/>
  <c r="BM24" i="7" s="1"/>
  <c r="BP24" i="7" s="1"/>
  <c r="BS24" i="7" s="1"/>
  <c r="BV24" i="7" s="1"/>
  <c r="BY24" i="7" s="1"/>
  <c r="CB24" i="7" s="1"/>
  <c r="K24" i="7"/>
  <c r="L24" i="7" s="1"/>
  <c r="BA10" i="7"/>
  <c r="BD10" i="7" s="1"/>
  <c r="BG10" i="7" s="1"/>
  <c r="BJ10" i="7" s="1"/>
  <c r="BM10" i="7" s="1"/>
  <c r="BP10" i="7" s="1"/>
  <c r="BS10" i="7" s="1"/>
  <c r="BV10" i="7" s="1"/>
  <c r="BY10" i="7" s="1"/>
  <c r="CB10" i="7" s="1"/>
  <c r="K10" i="7"/>
  <c r="U4" i="7" l="1"/>
  <c r="W4" i="7"/>
  <c r="O16" i="7"/>
  <c r="O17" i="7"/>
  <c r="O18" i="7"/>
  <c r="O19" i="7"/>
  <c r="N20" i="7"/>
  <c r="Q20" i="7" s="1"/>
  <c r="T20" i="7" s="1"/>
  <c r="W20" i="7" s="1"/>
  <c r="Z20" i="7" s="1"/>
  <c r="AC20" i="7" s="1"/>
  <c r="AF20" i="7" s="1"/>
  <c r="AI20" i="7" s="1"/>
  <c r="AL20" i="7" s="1"/>
  <c r="AO20" i="7" s="1"/>
  <c r="AR20" i="7" s="1"/>
  <c r="AU20" i="7" s="1"/>
  <c r="AX20" i="7" s="1"/>
  <c r="N22" i="7"/>
  <c r="Q22" i="7" s="1"/>
  <c r="T22" i="7" s="1"/>
  <c r="W22" i="7" s="1"/>
  <c r="Z22" i="7" s="1"/>
  <c r="AC22" i="7" s="1"/>
  <c r="AF22" i="7" s="1"/>
  <c r="AI22" i="7" s="1"/>
  <c r="AL22" i="7" s="1"/>
  <c r="AO22" i="7" s="1"/>
  <c r="AR22" i="7" s="1"/>
  <c r="AU22" i="7" s="1"/>
  <c r="AX22" i="7" s="1"/>
  <c r="N23" i="7"/>
  <c r="Q23" i="7" s="1"/>
  <c r="T23" i="7" s="1"/>
  <c r="W23" i="7" s="1"/>
  <c r="Z23" i="7" s="1"/>
  <c r="AC23" i="7" s="1"/>
  <c r="AF23" i="7" s="1"/>
  <c r="AI23" i="7" s="1"/>
  <c r="AL23" i="7" s="1"/>
  <c r="AO23" i="7" s="1"/>
  <c r="AR23" i="7" s="1"/>
  <c r="AU23" i="7" s="1"/>
  <c r="AX23" i="7" s="1"/>
  <c r="N24" i="7"/>
  <c r="Q24" i="7" s="1"/>
  <c r="T24" i="7" s="1"/>
  <c r="W24" i="7" s="1"/>
  <c r="Z24" i="7" s="1"/>
  <c r="AC24" i="7" s="1"/>
  <c r="AF24" i="7" s="1"/>
  <c r="AI24" i="7" s="1"/>
  <c r="AL24" i="7" s="1"/>
  <c r="AO24" i="7" s="1"/>
  <c r="AR24" i="7" s="1"/>
  <c r="AU24" i="7" s="1"/>
  <c r="AX24" i="7" s="1"/>
  <c r="N10" i="7"/>
  <c r="L10" i="7"/>
  <c r="BA28" i="7"/>
  <c r="BD28" i="7" s="1"/>
  <c r="BG28" i="7" s="1"/>
  <c r="BJ28" i="7" s="1"/>
  <c r="BM28" i="7" s="1"/>
  <c r="BP28" i="7" s="1"/>
  <c r="BS28" i="7" s="1"/>
  <c r="BV28" i="7" s="1"/>
  <c r="BY28" i="7" s="1"/>
  <c r="CB28" i="7" s="1"/>
  <c r="L28" i="7"/>
  <c r="BA27" i="7"/>
  <c r="BD27" i="7" s="1"/>
  <c r="BG27" i="7" s="1"/>
  <c r="BJ27" i="7" s="1"/>
  <c r="BM27" i="7" s="1"/>
  <c r="BP27" i="7" s="1"/>
  <c r="BS27" i="7" s="1"/>
  <c r="BV27" i="7" s="1"/>
  <c r="BY27" i="7" s="1"/>
  <c r="CB27" i="7" s="1"/>
  <c r="L27" i="7"/>
  <c r="BA26" i="7"/>
  <c r="BD26" i="7" s="1"/>
  <c r="BG26" i="7" s="1"/>
  <c r="BJ26" i="7" s="1"/>
  <c r="BM26" i="7" s="1"/>
  <c r="BP26" i="7" s="1"/>
  <c r="BS26" i="7" s="1"/>
  <c r="BV26" i="7" s="1"/>
  <c r="BY26" i="7" s="1"/>
  <c r="CB26" i="7" s="1"/>
  <c r="L26" i="7"/>
  <c r="BA25" i="7"/>
  <c r="BD25" i="7" s="1"/>
  <c r="BG25" i="7" s="1"/>
  <c r="BJ25" i="7" s="1"/>
  <c r="BM25" i="7" s="1"/>
  <c r="BP25" i="7" s="1"/>
  <c r="BS25" i="7" s="1"/>
  <c r="BV25" i="7" s="1"/>
  <c r="BY25" i="7" s="1"/>
  <c r="CB25" i="7" s="1"/>
  <c r="L25" i="7"/>
  <c r="BA15" i="7"/>
  <c r="BD15" i="7" s="1"/>
  <c r="BG15" i="7" s="1"/>
  <c r="BJ15" i="7" s="1"/>
  <c r="BM15" i="7" s="1"/>
  <c r="BP15" i="7" s="1"/>
  <c r="BS15" i="7" s="1"/>
  <c r="BV15" i="7" s="1"/>
  <c r="BY15" i="7" s="1"/>
  <c r="CB15" i="7" s="1"/>
  <c r="K15" i="7"/>
  <c r="L15" i="7" s="1"/>
  <c r="BA14" i="7"/>
  <c r="BD14" i="7" s="1"/>
  <c r="BG14" i="7" s="1"/>
  <c r="BJ14" i="7" s="1"/>
  <c r="BM14" i="7" s="1"/>
  <c r="BP14" i="7" s="1"/>
  <c r="BS14" i="7" s="1"/>
  <c r="BV14" i="7" s="1"/>
  <c r="BY14" i="7" s="1"/>
  <c r="CB14" i="7" s="1"/>
  <c r="K14" i="7"/>
  <c r="L14" i="7" s="1"/>
  <c r="BA13" i="7"/>
  <c r="BD13" i="7" s="1"/>
  <c r="BG13" i="7" s="1"/>
  <c r="BJ13" i="7" s="1"/>
  <c r="BM13" i="7" s="1"/>
  <c r="BP13" i="7" s="1"/>
  <c r="BS13" i="7" s="1"/>
  <c r="BV13" i="7" s="1"/>
  <c r="BY13" i="7" s="1"/>
  <c r="CB13" i="7" s="1"/>
  <c r="K13" i="7"/>
  <c r="BA12" i="7"/>
  <c r="BD12" i="7" s="1"/>
  <c r="BG12" i="7" s="1"/>
  <c r="BJ12" i="7" s="1"/>
  <c r="BM12" i="7" s="1"/>
  <c r="BP12" i="7" s="1"/>
  <c r="BS12" i="7" s="1"/>
  <c r="BV12" i="7" s="1"/>
  <c r="BY12" i="7" s="1"/>
  <c r="CB12" i="7" s="1"/>
  <c r="K12" i="7"/>
  <c r="L12" i="7" s="1"/>
  <c r="BA11" i="7"/>
  <c r="BD11" i="7" s="1"/>
  <c r="BG11" i="7" s="1"/>
  <c r="BJ11" i="7" s="1"/>
  <c r="BM11" i="7" s="1"/>
  <c r="BP11" i="7" s="1"/>
  <c r="BS11" i="7" s="1"/>
  <c r="BV11" i="7" s="1"/>
  <c r="BY11" i="7" s="1"/>
  <c r="CB11" i="7" s="1"/>
  <c r="K11" i="7"/>
  <c r="L11" i="7" s="1"/>
  <c r="BA9" i="7"/>
  <c r="BD9" i="7" s="1"/>
  <c r="BG9" i="7" s="1"/>
  <c r="BJ9" i="7" s="1"/>
  <c r="BM9" i="7" s="1"/>
  <c r="BP9" i="7" s="1"/>
  <c r="BS9" i="7" s="1"/>
  <c r="BV9" i="7" s="1"/>
  <c r="BY9" i="7" s="1"/>
  <c r="CB9" i="7" s="1"/>
  <c r="BA8" i="7"/>
  <c r="BD8" i="7" s="1"/>
  <c r="BG8" i="7" s="1"/>
  <c r="BJ8" i="7" s="1"/>
  <c r="BM8" i="7" s="1"/>
  <c r="BP8" i="7" s="1"/>
  <c r="BS8" i="7" s="1"/>
  <c r="BV8" i="7" s="1"/>
  <c r="BY8" i="7" s="1"/>
  <c r="CB8" i="7" s="1"/>
  <c r="BA7" i="7"/>
  <c r="BD7" i="7" s="1"/>
  <c r="BG7" i="7" s="1"/>
  <c r="BJ7" i="7" s="1"/>
  <c r="BM7" i="7" s="1"/>
  <c r="BP7" i="7" s="1"/>
  <c r="BS7" i="7" s="1"/>
  <c r="BV7" i="7" s="1"/>
  <c r="BY7" i="7" s="1"/>
  <c r="CB7" i="7" s="1"/>
  <c r="BA6" i="7"/>
  <c r="BD6" i="7" s="1"/>
  <c r="BG6" i="7" s="1"/>
  <c r="BJ6" i="7" s="1"/>
  <c r="BM6" i="7" s="1"/>
  <c r="BP6" i="7" s="1"/>
  <c r="BS6" i="7" s="1"/>
  <c r="BV6" i="7" s="1"/>
  <c r="BY6" i="7" s="1"/>
  <c r="CB6" i="7" s="1"/>
  <c r="BA5" i="7"/>
  <c r="BD5" i="7" s="1"/>
  <c r="BG5" i="7" s="1"/>
  <c r="BJ5" i="7" s="1"/>
  <c r="BM5" i="7" s="1"/>
  <c r="BP5" i="7" s="1"/>
  <c r="BS5" i="7" s="1"/>
  <c r="BV5" i="7" s="1"/>
  <c r="BY5" i="7" s="1"/>
  <c r="CB5" i="7" s="1"/>
  <c r="K34" i="7" l="1"/>
  <c r="Q10" i="7"/>
  <c r="X4" i="7"/>
  <c r="R16" i="7"/>
  <c r="R17" i="7"/>
  <c r="R18" i="7"/>
  <c r="R19" i="7"/>
  <c r="O22" i="7"/>
  <c r="R22" i="7" s="1"/>
  <c r="O20" i="7"/>
  <c r="O23" i="7"/>
  <c r="O24" i="7"/>
  <c r="O10" i="7"/>
  <c r="L13" i="7"/>
  <c r="Z5" i="7"/>
  <c r="AC5" i="7" s="1"/>
  <c r="AF5" i="7" s="1"/>
  <c r="AI5" i="7" s="1"/>
  <c r="AL5" i="7" s="1"/>
  <c r="AO5" i="7" s="1"/>
  <c r="AR5" i="7" s="1"/>
  <c r="AU5" i="7" s="1"/>
  <c r="AX5" i="7" s="1"/>
  <c r="Z6" i="7"/>
  <c r="AC6" i="7" s="1"/>
  <c r="AF6" i="7" s="1"/>
  <c r="AI6" i="7" s="1"/>
  <c r="AL6" i="7" s="1"/>
  <c r="AO6" i="7" s="1"/>
  <c r="AR6" i="7" s="1"/>
  <c r="AU6" i="7" s="1"/>
  <c r="AX6" i="7" s="1"/>
  <c r="Z7" i="7"/>
  <c r="AC7" i="7" s="1"/>
  <c r="AF7" i="7" s="1"/>
  <c r="AI7" i="7" s="1"/>
  <c r="AL7" i="7" s="1"/>
  <c r="AO7" i="7" s="1"/>
  <c r="AR7" i="7" s="1"/>
  <c r="AU7" i="7" s="1"/>
  <c r="AX7" i="7" s="1"/>
  <c r="Z8" i="7"/>
  <c r="AC8" i="7" s="1"/>
  <c r="AF8" i="7" s="1"/>
  <c r="AI8" i="7" s="1"/>
  <c r="AL8" i="7" s="1"/>
  <c r="AO8" i="7" s="1"/>
  <c r="AR8" i="7" s="1"/>
  <c r="AU8" i="7" s="1"/>
  <c r="AX8" i="7" s="1"/>
  <c r="Z9" i="7"/>
  <c r="AC9" i="7" s="1"/>
  <c r="AF9" i="7" s="1"/>
  <c r="AI9" i="7" s="1"/>
  <c r="AL9" i="7" s="1"/>
  <c r="AO9" i="7" s="1"/>
  <c r="AR9" i="7" s="1"/>
  <c r="AU9" i="7" s="1"/>
  <c r="AX9" i="7" s="1"/>
  <c r="N11" i="7"/>
  <c r="Q11" i="7" s="1"/>
  <c r="T11" i="7" s="1"/>
  <c r="W11" i="7" s="1"/>
  <c r="Z11" i="7" s="1"/>
  <c r="AC11" i="7" s="1"/>
  <c r="AF11" i="7" s="1"/>
  <c r="AL11" i="7" s="1"/>
  <c r="AO11" i="7" s="1"/>
  <c r="AR11" i="7" s="1"/>
  <c r="AU11" i="7" s="1"/>
  <c r="AX11" i="7" s="1"/>
  <c r="N12" i="7"/>
  <c r="Q12" i="7" s="1"/>
  <c r="T12" i="7" s="1"/>
  <c r="W12" i="7" s="1"/>
  <c r="Z12" i="7" s="1"/>
  <c r="AC12" i="7" s="1"/>
  <c r="AF12" i="7" s="1"/>
  <c r="AL12" i="7" s="1"/>
  <c r="AO12" i="7" s="1"/>
  <c r="AR12" i="7" s="1"/>
  <c r="AU12" i="7" s="1"/>
  <c r="AX12" i="7" s="1"/>
  <c r="N13" i="7"/>
  <c r="Q13" i="7" s="1"/>
  <c r="T13" i="7" s="1"/>
  <c r="W13" i="7" s="1"/>
  <c r="Z13" i="7" s="1"/>
  <c r="AC13" i="7" s="1"/>
  <c r="AF13" i="7" s="1"/>
  <c r="AI13" i="7" s="1"/>
  <c r="AL13" i="7" s="1"/>
  <c r="AO13" i="7" s="1"/>
  <c r="AR13" i="7" s="1"/>
  <c r="AU13" i="7" s="1"/>
  <c r="AX13" i="7" s="1"/>
  <c r="N14" i="7"/>
  <c r="N15" i="7"/>
  <c r="Q15" i="7" s="1"/>
  <c r="T15" i="7" s="1"/>
  <c r="W15" i="7" s="1"/>
  <c r="Z15" i="7" s="1"/>
  <c r="AC15" i="7" s="1"/>
  <c r="AF15" i="7" s="1"/>
  <c r="AI15" i="7" s="1"/>
  <c r="AL15" i="7" s="1"/>
  <c r="AO15" i="7" s="1"/>
  <c r="AR15" i="7" s="1"/>
  <c r="AU15" i="7" s="1"/>
  <c r="AX15" i="7" s="1"/>
  <c r="N25" i="7"/>
  <c r="N26" i="7"/>
  <c r="Q26" i="7" s="1"/>
  <c r="T26" i="7" s="1"/>
  <c r="W26" i="7" s="1"/>
  <c r="Z26" i="7" s="1"/>
  <c r="AC26" i="7" s="1"/>
  <c r="AF26" i="7" s="1"/>
  <c r="AI26" i="7" s="1"/>
  <c r="AL26" i="7" s="1"/>
  <c r="AO26" i="7" s="1"/>
  <c r="AR26" i="7" s="1"/>
  <c r="AU26" i="7" s="1"/>
  <c r="AX26" i="7" s="1"/>
  <c r="N27" i="7"/>
  <c r="N28" i="7"/>
  <c r="N34" i="7" l="1"/>
  <c r="T10" i="7"/>
  <c r="R23" i="7"/>
  <c r="U23" i="7" s="1"/>
  <c r="R20" i="7"/>
  <c r="U20" i="7" s="1"/>
  <c r="U16" i="7"/>
  <c r="X16" i="7" s="1"/>
  <c r="U17" i="7"/>
  <c r="X17" i="7" s="1"/>
  <c r="AA17" i="7" s="1"/>
  <c r="U18" i="7"/>
  <c r="U19" i="7"/>
  <c r="X19" i="7" s="1"/>
  <c r="U22" i="7"/>
  <c r="R24" i="7"/>
  <c r="U24" i="7" s="1"/>
  <c r="X24" i="7" s="1"/>
  <c r="R10" i="7"/>
  <c r="Q28" i="7"/>
  <c r="T28" i="7" s="1"/>
  <c r="W28" i="7" s="1"/>
  <c r="Z28" i="7" s="1"/>
  <c r="AC28" i="7" s="1"/>
  <c r="AF28" i="7" s="1"/>
  <c r="AI28" i="7" s="1"/>
  <c r="AL28" i="7" s="1"/>
  <c r="AO28" i="7" s="1"/>
  <c r="AR28" i="7" s="1"/>
  <c r="AU28" i="7" s="1"/>
  <c r="AX28" i="7" s="1"/>
  <c r="O28" i="7"/>
  <c r="Q27" i="7"/>
  <c r="T27" i="7" s="1"/>
  <c r="W27" i="7" s="1"/>
  <c r="Z27" i="7" s="1"/>
  <c r="AC27" i="7" s="1"/>
  <c r="AF27" i="7" s="1"/>
  <c r="AI27" i="7" s="1"/>
  <c r="AL27" i="7" s="1"/>
  <c r="AO27" i="7" s="1"/>
  <c r="AR27" i="7" s="1"/>
  <c r="AU27" i="7" s="1"/>
  <c r="AX27" i="7" s="1"/>
  <c r="O27" i="7"/>
  <c r="Q25" i="7"/>
  <c r="T25" i="7" s="1"/>
  <c r="W25" i="7" s="1"/>
  <c r="Z25" i="7" s="1"/>
  <c r="AC25" i="7" s="1"/>
  <c r="AF25" i="7" s="1"/>
  <c r="AI25" i="7" s="1"/>
  <c r="AL25" i="7" s="1"/>
  <c r="AO25" i="7" s="1"/>
  <c r="AR25" i="7" s="1"/>
  <c r="AU25" i="7" s="1"/>
  <c r="AX25" i="7" s="1"/>
  <c r="O25" i="7"/>
  <c r="Q14" i="7"/>
  <c r="T14" i="7" s="1"/>
  <c r="W14" i="7" s="1"/>
  <c r="Z14" i="7" s="1"/>
  <c r="AC14" i="7" s="1"/>
  <c r="AF14" i="7" s="1"/>
  <c r="AI14" i="7" s="1"/>
  <c r="AL14" i="7" s="1"/>
  <c r="AO14" i="7" s="1"/>
  <c r="AR14" i="7" s="1"/>
  <c r="AU14" i="7" s="1"/>
  <c r="AX14" i="7" s="1"/>
  <c r="O14" i="7"/>
  <c r="O15" i="7"/>
  <c r="R15" i="7" s="1"/>
  <c r="O13" i="7"/>
  <c r="R13" i="7" s="1"/>
  <c r="O11" i="7"/>
  <c r="R11" i="7" s="1"/>
  <c r="O26" i="7"/>
  <c r="O12" i="7"/>
  <c r="T34" i="7" l="1"/>
  <c r="U10" i="7"/>
  <c r="Q34" i="7"/>
  <c r="W10" i="7"/>
  <c r="R27" i="7"/>
  <c r="U27" i="7" s="1"/>
  <c r="AA16" i="7"/>
  <c r="AD16" i="7" s="1"/>
  <c r="AD17" i="7"/>
  <c r="X18" i="7"/>
  <c r="AA19" i="7"/>
  <c r="AD19" i="7" s="1"/>
  <c r="R25" i="7"/>
  <c r="U25" i="7" s="1"/>
  <c r="R28" i="7"/>
  <c r="U28" i="7" s="1"/>
  <c r="R14" i="7"/>
  <c r="U14" i="7" s="1"/>
  <c r="X20" i="7"/>
  <c r="X22" i="7"/>
  <c r="AA22" i="7" s="1"/>
  <c r="X23" i="7"/>
  <c r="AA24" i="7"/>
  <c r="AD24" i="7" s="1"/>
  <c r="U15" i="7"/>
  <c r="R12" i="7"/>
  <c r="U12" i="7" s="1"/>
  <c r="U13" i="7"/>
  <c r="AA8" i="7"/>
  <c r="U11" i="7"/>
  <c r="X11" i="7" s="1"/>
  <c r="AA9" i="7"/>
  <c r="AA7" i="7"/>
  <c r="R26" i="7"/>
  <c r="X10" i="7" l="1"/>
  <c r="W34" i="7"/>
  <c r="Z10" i="7"/>
  <c r="X25" i="7"/>
  <c r="AA25" i="7" s="1"/>
  <c r="AD25" i="7" s="1"/>
  <c r="AG25" i="7" s="1"/>
  <c r="AG16" i="7"/>
  <c r="AJ16" i="7" s="1"/>
  <c r="AM16" i="7" s="1"/>
  <c r="AP16" i="7" s="1"/>
  <c r="AG19" i="7"/>
  <c r="AG17" i="7"/>
  <c r="AA18" i="7"/>
  <c r="AA11" i="7"/>
  <c r="AD11" i="7" s="1"/>
  <c r="AG11" i="7" s="1"/>
  <c r="AA20" i="7"/>
  <c r="AD20" i="7" s="1"/>
  <c r="AG20" i="7" s="1"/>
  <c r="AD22" i="7"/>
  <c r="AA23" i="7"/>
  <c r="AD23" i="7" s="1"/>
  <c r="AG24" i="7"/>
  <c r="AA5" i="7"/>
  <c r="X14" i="7"/>
  <c r="AA14" i="7" s="1"/>
  <c r="X12" i="7"/>
  <c r="AA12" i="7" s="1"/>
  <c r="X15" i="7"/>
  <c r="AA15" i="7" s="1"/>
  <c r="X28" i="7"/>
  <c r="AA28" i="7" s="1"/>
  <c r="AD9" i="7"/>
  <c r="AD8" i="7"/>
  <c r="AG8" i="7" s="1"/>
  <c r="X27" i="7"/>
  <c r="AD7" i="7"/>
  <c r="AG7" i="7" s="1"/>
  <c r="X13" i="7"/>
  <c r="U26" i="7"/>
  <c r="AC10" i="7" l="1"/>
  <c r="AF10" i="7" s="1"/>
  <c r="AI10" i="7" s="1"/>
  <c r="AL10" i="7" s="1"/>
  <c r="AO10" i="7" s="1"/>
  <c r="AR10" i="7" s="1"/>
  <c r="AU10" i="7" s="1"/>
  <c r="AX10" i="7" s="1"/>
  <c r="AA10" i="7"/>
  <c r="AJ25" i="7"/>
  <c r="AM25" i="7" s="1"/>
  <c r="AJ11" i="7"/>
  <c r="AM11" i="7" s="1"/>
  <c r="AP11" i="7" s="1"/>
  <c r="AJ7" i="7"/>
  <c r="AM7" i="7" s="1"/>
  <c r="AJ17" i="7"/>
  <c r="AM17" i="7" s="1"/>
  <c r="AJ20" i="7"/>
  <c r="AM20" i="7" s="1"/>
  <c r="AJ19" i="7"/>
  <c r="AM19" i="7" s="1"/>
  <c r="AP19" i="7" s="1"/>
  <c r="AS19" i="7" s="1"/>
  <c r="AV19" i="7" s="1"/>
  <c r="AY19" i="7" s="1"/>
  <c r="AS16" i="7"/>
  <c r="AV16" i="7" s="1"/>
  <c r="AY16" i="7" s="1"/>
  <c r="G16" i="7" s="1"/>
  <c r="AD18" i="7"/>
  <c r="AD5" i="7"/>
  <c r="AG5" i="7" s="1"/>
  <c r="AG22" i="7"/>
  <c r="AG23" i="7"/>
  <c r="AJ24" i="7"/>
  <c r="AM24" i="7" s="1"/>
  <c r="AP24" i="7" s="1"/>
  <c r="AS24" i="7" s="1"/>
  <c r="AV24" i="7" s="1"/>
  <c r="AY24" i="7" s="1"/>
  <c r="G24" i="7" s="1"/>
  <c r="AD15" i="7"/>
  <c r="AG15" i="7" s="1"/>
  <c r="AJ15" i="7" s="1"/>
  <c r="AD14" i="7"/>
  <c r="AG14" i="7" s="1"/>
  <c r="AA13" i="7"/>
  <c r="AJ8" i="7"/>
  <c r="AG9" i="7"/>
  <c r="AA6" i="7"/>
  <c r="AD28" i="7"/>
  <c r="AA27" i="7"/>
  <c r="AD27" i="7" s="1"/>
  <c r="AD12" i="7"/>
  <c r="X26" i="7"/>
  <c r="AD10" i="7" l="1"/>
  <c r="AG10" i="7" s="1"/>
  <c r="CE19" i="7"/>
  <c r="G19" i="7"/>
  <c r="AP20" i="7"/>
  <c r="AS20" i="7" s="1"/>
  <c r="AV20" i="7" s="1"/>
  <c r="AY20" i="7" s="1"/>
  <c r="G20" i="7" s="1"/>
  <c r="AJ14" i="7"/>
  <c r="AM14" i="7" s="1"/>
  <c r="BB16" i="7"/>
  <c r="BE16" i="7" s="1"/>
  <c r="BH16" i="7" s="1"/>
  <c r="BK16" i="7" s="1"/>
  <c r="BN16" i="7" s="1"/>
  <c r="BQ16" i="7" s="1"/>
  <c r="BT16" i="7" s="1"/>
  <c r="BW16" i="7" s="1"/>
  <c r="BZ16" i="7" s="1"/>
  <c r="CC16" i="7" s="1"/>
  <c r="AP17" i="7"/>
  <c r="AJ5" i="7"/>
  <c r="AM5" i="7" s="1"/>
  <c r="AJ23" i="7"/>
  <c r="AM23" i="7" s="1"/>
  <c r="AP23" i="7" s="1"/>
  <c r="AS23" i="7" s="1"/>
  <c r="AV23" i="7" s="1"/>
  <c r="AY23" i="7" s="1"/>
  <c r="G23" i="7" s="1"/>
  <c r="AJ22" i="7"/>
  <c r="AM22" i="7" s="1"/>
  <c r="AP22" i="7" s="1"/>
  <c r="AS22" i="7" s="1"/>
  <c r="AV22" i="7" s="1"/>
  <c r="AY22" i="7" s="1"/>
  <c r="BB19" i="7"/>
  <c r="BE19" i="7" s="1"/>
  <c r="BH19" i="7" s="1"/>
  <c r="BK19" i="7" s="1"/>
  <c r="BN19" i="7" s="1"/>
  <c r="BQ19" i="7" s="1"/>
  <c r="BT19" i="7" s="1"/>
  <c r="BW19" i="7" s="1"/>
  <c r="BZ19" i="7" s="1"/>
  <c r="CC19" i="7" s="1"/>
  <c r="CE16" i="7"/>
  <c r="AS17" i="7"/>
  <c r="AV17" i="7" s="1"/>
  <c r="AY17" i="7" s="1"/>
  <c r="G17" i="7" s="1"/>
  <c r="AG18" i="7"/>
  <c r="CE24" i="7"/>
  <c r="BB24" i="7"/>
  <c r="BE24" i="7" s="1"/>
  <c r="BH24" i="7" s="1"/>
  <c r="BK24" i="7" s="1"/>
  <c r="BN24" i="7" s="1"/>
  <c r="BQ24" i="7" s="1"/>
  <c r="BT24" i="7" s="1"/>
  <c r="BW24" i="7" s="1"/>
  <c r="BZ24" i="7" s="1"/>
  <c r="CC24" i="7" s="1"/>
  <c r="AS11" i="7"/>
  <c r="AV11" i="7" s="1"/>
  <c r="AY11" i="7" s="1"/>
  <c r="G11" i="7" s="1"/>
  <c r="AG27" i="7"/>
  <c r="AJ27" i="7" s="1"/>
  <c r="AJ9" i="7"/>
  <c r="AM9" i="7" s="1"/>
  <c r="AP9" i="7" s="1"/>
  <c r="AS9" i="7" s="1"/>
  <c r="AV9" i="7" s="1"/>
  <c r="AY9" i="7" s="1"/>
  <c r="CE9" i="7" s="1"/>
  <c r="AA26" i="7"/>
  <c r="AD26" i="7" s="1"/>
  <c r="AG26" i="7" s="1"/>
  <c r="AP25" i="7"/>
  <c r="AS25" i="7" s="1"/>
  <c r="AV25" i="7" s="1"/>
  <c r="AY25" i="7" s="1"/>
  <c r="AP7" i="7"/>
  <c r="AS7" i="7" s="1"/>
  <c r="AV7" i="7" s="1"/>
  <c r="AY7" i="7" s="1"/>
  <c r="AG28" i="7"/>
  <c r="AD6" i="7"/>
  <c r="AG6" i="7" s="1"/>
  <c r="AM8" i="7"/>
  <c r="AM15" i="7"/>
  <c r="AG12" i="7"/>
  <c r="AJ12" i="7" s="1"/>
  <c r="AM12" i="7" s="1"/>
  <c r="AP12" i="7" s="1"/>
  <c r="AS12" i="7" s="1"/>
  <c r="AV12" i="7" s="1"/>
  <c r="AY12" i="7" s="1"/>
  <c r="G12" i="7" s="1"/>
  <c r="AD13" i="7"/>
  <c r="AJ10" i="7" l="1"/>
  <c r="AM10" i="7" s="1"/>
  <c r="CE22" i="7"/>
  <c r="CE23" i="7"/>
  <c r="CE20" i="7"/>
  <c r="BB20" i="7"/>
  <c r="BE20" i="7" s="1"/>
  <c r="BH20" i="7" s="1"/>
  <c r="BK20" i="7" s="1"/>
  <c r="BN20" i="7" s="1"/>
  <c r="BQ20" i="7" s="1"/>
  <c r="BT20" i="7" s="1"/>
  <c r="BW20" i="7" s="1"/>
  <c r="BZ20" i="7" s="1"/>
  <c r="CC20" i="7" s="1"/>
  <c r="CE7" i="7"/>
  <c r="BB23" i="7"/>
  <c r="BE23" i="7" s="1"/>
  <c r="BH23" i="7" s="1"/>
  <c r="BK23" i="7" s="1"/>
  <c r="BN23" i="7" s="1"/>
  <c r="BQ23" i="7" s="1"/>
  <c r="BT23" i="7" s="1"/>
  <c r="BW23" i="7" s="1"/>
  <c r="BZ23" i="7" s="1"/>
  <c r="CC23" i="7" s="1"/>
  <c r="CE25" i="7"/>
  <c r="G25" i="7"/>
  <c r="AP8" i="7"/>
  <c r="AS8" i="7" s="1"/>
  <c r="AV8" i="7" s="1"/>
  <c r="AY8" i="7" s="1"/>
  <c r="AP14" i="7"/>
  <c r="AS14" i="7" s="1"/>
  <c r="AV14" i="7" s="1"/>
  <c r="AY14" i="7" s="1"/>
  <c r="G14" i="7" s="1"/>
  <c r="AP15" i="7"/>
  <c r="AS15" i="7" s="1"/>
  <c r="AV15" i="7" s="1"/>
  <c r="AY15" i="7" s="1"/>
  <c r="BT15" i="7" s="1"/>
  <c r="BW15" i="7" s="1"/>
  <c r="BZ15" i="7" s="1"/>
  <c r="CC15" i="7" s="1"/>
  <c r="AJ26" i="7"/>
  <c r="AM26" i="7" s="1"/>
  <c r="AP26" i="7" s="1"/>
  <c r="AS26" i="7" s="1"/>
  <c r="AJ6" i="7"/>
  <c r="AM6" i="7" s="1"/>
  <c r="AP6" i="7" s="1"/>
  <c r="AS6" i="7" s="1"/>
  <c r="AV6" i="7" s="1"/>
  <c r="AY6" i="7" s="1"/>
  <c r="CE6" i="7" s="1"/>
  <c r="BB22" i="7"/>
  <c r="BE22" i="7" s="1"/>
  <c r="BH22" i="7" s="1"/>
  <c r="BK22" i="7" s="1"/>
  <c r="BN22" i="7" s="1"/>
  <c r="BQ22" i="7" s="1"/>
  <c r="BT22" i="7" s="1"/>
  <c r="BW22" i="7" s="1"/>
  <c r="BZ22" i="7" s="1"/>
  <c r="CC22" i="7" s="1"/>
  <c r="AJ18" i="7"/>
  <c r="AM18" i="7" s="1"/>
  <c r="AP18" i="7" s="1"/>
  <c r="AS18" i="7" s="1"/>
  <c r="AV18" i="7" s="1"/>
  <c r="AY18" i="7" s="1"/>
  <c r="CE18" i="7" s="1"/>
  <c r="CE17" i="7"/>
  <c r="BB17" i="7"/>
  <c r="BE17" i="7" s="1"/>
  <c r="BH17" i="7" s="1"/>
  <c r="BK17" i="7" s="1"/>
  <c r="BN17" i="7" s="1"/>
  <c r="BQ17" i="7" s="1"/>
  <c r="BT17" i="7" s="1"/>
  <c r="BW17" i="7" s="1"/>
  <c r="BZ17" i="7" s="1"/>
  <c r="CC17" i="7" s="1"/>
  <c r="BT25" i="7"/>
  <c r="BW25" i="7" s="1"/>
  <c r="BZ25" i="7" s="1"/>
  <c r="CC25" i="7" s="1"/>
  <c r="BN25" i="7"/>
  <c r="BQ25" i="7" s="1"/>
  <c r="BB25" i="7"/>
  <c r="BE25" i="7" s="1"/>
  <c r="BH25" i="7" s="1"/>
  <c r="BK25" i="7" s="1"/>
  <c r="BB11" i="7"/>
  <c r="BE11" i="7"/>
  <c r="BH11" i="7" s="1"/>
  <c r="CC11" i="7"/>
  <c r="CE11" i="7"/>
  <c r="BK11" i="7"/>
  <c r="BN11" i="7" s="1"/>
  <c r="BQ11" i="7" s="1"/>
  <c r="BT11" i="7" s="1"/>
  <c r="BW11" i="7" s="1"/>
  <c r="BZ11" i="7" s="1"/>
  <c r="BB12" i="7"/>
  <c r="BE12" i="7" s="1"/>
  <c r="BH12" i="7" s="1"/>
  <c r="BK12" i="7" s="1"/>
  <c r="BN12" i="7" s="1"/>
  <c r="BQ12" i="7" s="1"/>
  <c r="BT12" i="7" s="1"/>
  <c r="BW12" i="7" s="1"/>
  <c r="BZ12" i="7" s="1"/>
  <c r="CC12" i="7" s="1"/>
  <c r="CE12" i="7"/>
  <c r="CC9" i="7"/>
  <c r="BB9" i="7"/>
  <c r="BE9" i="7" s="1"/>
  <c r="BH9" i="7" s="1"/>
  <c r="BK9" i="7" s="1"/>
  <c r="BN9" i="7" s="1"/>
  <c r="BQ9" i="7" s="1"/>
  <c r="BT9" i="7" s="1"/>
  <c r="BW9" i="7" s="1"/>
  <c r="BZ9" i="7" s="1"/>
  <c r="AG13" i="7"/>
  <c r="AJ13" i="7" s="1"/>
  <c r="AM13" i="7" s="1"/>
  <c r="AJ28" i="7"/>
  <c r="AM28" i="7" s="1"/>
  <c r="AP28" i="7" s="1"/>
  <c r="AS28" i="7" s="1"/>
  <c r="AV28" i="7" s="1"/>
  <c r="AY28" i="7" s="1"/>
  <c r="G28" i="7" s="1"/>
  <c r="AM27" i="7"/>
  <c r="AP27" i="7" s="1"/>
  <c r="AS27" i="7" s="1"/>
  <c r="AV27" i="7" s="1"/>
  <c r="AY27" i="7" s="1"/>
  <c r="G27" i="7" s="1"/>
  <c r="AP5" i="7"/>
  <c r="AS5" i="7" s="1"/>
  <c r="AV5" i="7" s="1"/>
  <c r="AY5" i="7" s="1"/>
  <c r="BB7" i="7"/>
  <c r="BE7" i="7" s="1"/>
  <c r="BH7" i="7" s="1"/>
  <c r="BK7" i="7" s="1"/>
  <c r="BN7" i="7" s="1"/>
  <c r="BQ7" i="7" s="1"/>
  <c r="BT7" i="7" s="1"/>
  <c r="BW7" i="7" s="1"/>
  <c r="BZ7" i="7" s="1"/>
  <c r="CC7" i="7" s="1"/>
  <c r="BZ8" i="7" l="1"/>
  <c r="CC8" i="7" s="1"/>
  <c r="CE8" i="7"/>
  <c r="AP10" i="7"/>
  <c r="BT8" i="7"/>
  <c r="BW8" i="7" s="1"/>
  <c r="CE5" i="7"/>
  <c r="G18" i="7"/>
  <c r="G15" i="7"/>
  <c r="BB14" i="7"/>
  <c r="BE14" i="7" s="1"/>
  <c r="BH14" i="7" s="1"/>
  <c r="BK14" i="7" s="1"/>
  <c r="BN14" i="7" s="1"/>
  <c r="BQ14" i="7" s="1"/>
  <c r="BT14" i="7" s="1"/>
  <c r="BW14" i="7" s="1"/>
  <c r="BZ14" i="7" s="1"/>
  <c r="CC14" i="7" s="1"/>
  <c r="BB8" i="7"/>
  <c r="BE8" i="7" s="1"/>
  <c r="BH8" i="7" s="1"/>
  <c r="BK8" i="7" s="1"/>
  <c r="BN8" i="7" s="1"/>
  <c r="BQ8" i="7" s="1"/>
  <c r="AP13" i="7"/>
  <c r="AS13" i="7" s="1"/>
  <c r="AV13" i="7" s="1"/>
  <c r="CE14" i="7"/>
  <c r="CE15" i="7"/>
  <c r="BB15" i="7"/>
  <c r="BE15" i="7" s="1"/>
  <c r="BH15" i="7" s="1"/>
  <c r="BK15" i="7" s="1"/>
  <c r="BN15" i="7" s="1"/>
  <c r="BQ15" i="7" s="1"/>
  <c r="AV26" i="7"/>
  <c r="AY26" i="7" s="1"/>
  <c r="G26" i="7" s="1"/>
  <c r="BB6" i="7"/>
  <c r="BE6" i="7" s="1"/>
  <c r="BH6" i="7" s="1"/>
  <c r="BK6" i="7" s="1"/>
  <c r="BN6" i="7" s="1"/>
  <c r="BQ6" i="7" s="1"/>
  <c r="BT6" i="7" s="1"/>
  <c r="BW6" i="7" s="1"/>
  <c r="BZ6" i="7" s="1"/>
  <c r="CC6" i="7" s="1"/>
  <c r="BB18" i="7"/>
  <c r="BE18" i="7" s="1"/>
  <c r="BH18" i="7" s="1"/>
  <c r="BK18" i="7" s="1"/>
  <c r="BN18" i="7" s="1"/>
  <c r="BQ18" i="7" s="1"/>
  <c r="BT18" i="7" s="1"/>
  <c r="BW18" i="7" s="1"/>
  <c r="BZ18" i="7" s="1"/>
  <c r="CC18" i="7" s="1"/>
  <c r="CE27" i="7"/>
  <c r="BB27" i="7"/>
  <c r="BE27" i="7" s="1"/>
  <c r="BH27" i="7" s="1"/>
  <c r="BK27" i="7" s="1"/>
  <c r="BN27" i="7" s="1"/>
  <c r="BQ27" i="7" s="1"/>
  <c r="BT27" i="7" s="1"/>
  <c r="BW27" i="7" s="1"/>
  <c r="BZ27" i="7" s="1"/>
  <c r="CC27" i="7" s="1"/>
  <c r="CE28" i="7"/>
  <c r="BB28" i="7"/>
  <c r="BE28" i="7" s="1"/>
  <c r="BH28" i="7" s="1"/>
  <c r="BK28" i="7" s="1"/>
  <c r="BN28" i="7" s="1"/>
  <c r="BQ28" i="7" s="1"/>
  <c r="BT28" i="7" s="1"/>
  <c r="BW28" i="7" s="1"/>
  <c r="BZ28" i="7" s="1"/>
  <c r="CC28" i="7" s="1"/>
  <c r="BB5" i="7"/>
  <c r="BE5" i="7" s="1"/>
  <c r="BH5" i="7" s="1"/>
  <c r="BK5" i="7" s="1"/>
  <c r="BN5" i="7" s="1"/>
  <c r="BQ5" i="7" s="1"/>
  <c r="BT5" i="7" s="1"/>
  <c r="BW5" i="7" s="1"/>
  <c r="BZ5" i="7" s="1"/>
  <c r="CC5" i="7" s="1"/>
  <c r="AS10" i="7" l="1"/>
  <c r="AV10" i="7" s="1"/>
  <c r="AY10" i="7" s="1"/>
  <c r="G10" i="7" s="1"/>
  <c r="CE26" i="7"/>
  <c r="BB26" i="7"/>
  <c r="BE26" i="7" s="1"/>
  <c r="BH26" i="7" s="1"/>
  <c r="BK26" i="7" s="1"/>
  <c r="BN26" i="7" s="1"/>
  <c r="BQ26" i="7" s="1"/>
  <c r="BT26" i="7" s="1"/>
  <c r="BW26" i="7" s="1"/>
  <c r="BZ26" i="7" s="1"/>
  <c r="CC26" i="7" s="1"/>
  <c r="AY13" i="7"/>
  <c r="BB10" i="7" l="1"/>
  <c r="BE10" i="7" s="1"/>
  <c r="BH10" i="7" s="1"/>
  <c r="BK10" i="7" s="1"/>
  <c r="BN10" i="7" s="1"/>
  <c r="BQ10" i="7" s="1"/>
  <c r="BT10" i="7" s="1"/>
  <c r="BW10" i="7" s="1"/>
  <c r="BZ10" i="7" s="1"/>
  <c r="CC10" i="7" s="1"/>
  <c r="CE10" i="7"/>
  <c r="BQ13" i="7"/>
  <c r="BT13" i="7" s="1"/>
  <c r="BW13" i="7" s="1"/>
  <c r="BZ13" i="7" s="1"/>
  <c r="G13" i="7"/>
  <c r="CE13" i="7"/>
  <c r="BK13" i="7"/>
  <c r="BN13" i="7" s="1"/>
  <c r="BB13" i="7"/>
  <c r="BE13" i="7"/>
  <c r="BH13" i="7" s="1"/>
  <c r="CC13" i="7"/>
  <c r="B24" i="9"/>
  <c r="B23" i="9"/>
  <c r="B22" i="9"/>
  <c r="B21" i="9"/>
  <c r="B20" i="9"/>
  <c r="B19" i="9"/>
  <c r="B18" i="9"/>
  <c r="B17" i="9"/>
  <c r="B16" i="9"/>
  <c r="B15" i="9"/>
  <c r="B14" i="9"/>
  <c r="B13" i="9"/>
  <c r="B12" i="9"/>
  <c r="B11" i="9"/>
  <c r="B10" i="9"/>
  <c r="B9" i="9"/>
  <c r="B2" i="9"/>
  <c r="B5" i="9"/>
  <c r="B4" i="9"/>
  <c r="B3" i="9"/>
  <c r="B25" i="9" l="1"/>
  <c r="C9" i="9" s="1"/>
  <c r="B6" i="9"/>
  <c r="BA4" i="7"/>
  <c r="BA34" i="7" s="1"/>
  <c r="G1" i="7"/>
  <c r="E2" i="6"/>
  <c r="D2" i="6" s="1"/>
  <c r="D3" i="6"/>
  <c r="I6" i="6" s="1"/>
  <c r="M1" i="7"/>
  <c r="A19" i="8"/>
  <c r="AZ1" i="7"/>
  <c r="BC1" i="7" s="1"/>
  <c r="BF1" i="7" s="1"/>
  <c r="BI1" i="7" s="1"/>
  <c r="BL1" i="7" s="1"/>
  <c r="BO1" i="7" s="1"/>
  <c r="BR1" i="7" s="1"/>
  <c r="BU1" i="7" s="1"/>
  <c r="BX1" i="7" s="1"/>
  <c r="CA1" i="7" s="1"/>
  <c r="BD4" i="7" l="1"/>
  <c r="BD34" i="7" s="1"/>
  <c r="C20" i="9"/>
  <c r="C24" i="9"/>
  <c r="C12" i="9"/>
  <c r="C23" i="9"/>
  <c r="C19" i="9"/>
  <c r="C15" i="9"/>
  <c r="C22" i="9"/>
  <c r="C16" i="9"/>
  <c r="C21" i="9"/>
  <c r="C17" i="9"/>
  <c r="C13" i="9"/>
  <c r="C18" i="9"/>
  <c r="C11" i="9"/>
  <c r="C10" i="9"/>
  <c r="C14" i="9"/>
  <c r="Z4" i="7"/>
  <c r="Z34" i="7" s="1"/>
  <c r="P6" i="6"/>
  <c r="I9" i="6"/>
  <c r="I10" i="6"/>
  <c r="I12" i="6"/>
  <c r="J6" i="6"/>
  <c r="I8" i="6"/>
  <c r="I13" i="6"/>
  <c r="I11" i="6"/>
  <c r="I14" i="6"/>
  <c r="E36" i="8"/>
  <c r="P1" i="7"/>
  <c r="F20" i="8"/>
  <c r="C8" i="6"/>
  <c r="AC4" i="7" l="1"/>
  <c r="AC34" i="7" s="1"/>
  <c r="BG4" i="7"/>
  <c r="BG34" i="7" s="1"/>
  <c r="C25" i="9"/>
  <c r="E23" i="8"/>
  <c r="E24" i="8" s="1"/>
  <c r="E22" i="8"/>
  <c r="E31" i="8"/>
  <c r="E37" i="8"/>
  <c r="E35" i="8"/>
  <c r="Q6" i="6"/>
  <c r="K6" i="6"/>
  <c r="S1" i="7"/>
  <c r="G20" i="8"/>
  <c r="F23" i="8"/>
  <c r="F22" i="8"/>
  <c r="BJ4" i="7" l="1"/>
  <c r="BJ34" i="7" s="1"/>
  <c r="AF4" i="7"/>
  <c r="AF34" i="7" s="1"/>
  <c r="F36" i="8"/>
  <c r="F31" i="8"/>
  <c r="F37" i="8"/>
  <c r="F35" i="8"/>
  <c r="F24" i="8"/>
  <c r="F27" i="8" s="1"/>
  <c r="F28" i="8" s="1"/>
  <c r="R6" i="6"/>
  <c r="L6" i="6"/>
  <c r="V1" i="7"/>
  <c r="H20" i="8"/>
  <c r="G22" i="8"/>
  <c r="G23" i="8"/>
  <c r="G24" i="8" s="1"/>
  <c r="E25" i="8"/>
  <c r="E27" i="8"/>
  <c r="E28" i="8" s="1"/>
  <c r="AI4" i="7" l="1"/>
  <c r="AI34" i="7" s="1"/>
  <c r="BM4" i="7"/>
  <c r="BM34" i="7" s="1"/>
  <c r="F25" i="8"/>
  <c r="G36" i="8"/>
  <c r="G37" i="8"/>
  <c r="G35" i="8"/>
  <c r="G31" i="8"/>
  <c r="G25" i="8"/>
  <c r="S6" i="6"/>
  <c r="M6" i="6"/>
  <c r="Y1" i="7"/>
  <c r="I20" i="8"/>
  <c r="G27" i="8"/>
  <c r="G28" i="8" s="1"/>
  <c r="H23" i="8"/>
  <c r="H24" i="8" s="1"/>
  <c r="H27" i="8" s="1"/>
  <c r="H22" i="8"/>
  <c r="BP4" i="7" l="1"/>
  <c r="BP34" i="7" s="1"/>
  <c r="AL4" i="7"/>
  <c r="AL34" i="7" s="1"/>
  <c r="H25" i="8"/>
  <c r="H37" i="8"/>
  <c r="H36" i="8"/>
  <c r="H31" i="8"/>
  <c r="H35" i="8"/>
  <c r="H28" i="8"/>
  <c r="AA4" i="7"/>
  <c r="AD4" i="7" s="1"/>
  <c r="N6" i="6"/>
  <c r="O6" i="6" s="1"/>
  <c r="T6" i="6"/>
  <c r="AB1" i="7"/>
  <c r="J20" i="8"/>
  <c r="I37" i="8"/>
  <c r="I23" i="8"/>
  <c r="I24" i="8" s="1"/>
  <c r="I27" i="8" s="1"/>
  <c r="I22" i="8"/>
  <c r="I31" i="8"/>
  <c r="AO4" i="7" l="1"/>
  <c r="AO34" i="7" s="1"/>
  <c r="BS4" i="7"/>
  <c r="BS34" i="7" s="1"/>
  <c r="I35" i="8"/>
  <c r="I36" i="8"/>
  <c r="I28" i="8"/>
  <c r="AG4" i="7"/>
  <c r="AJ4" i="7" s="1"/>
  <c r="J36" i="8"/>
  <c r="U6" i="6"/>
  <c r="V6" i="6" s="1"/>
  <c r="W11" i="6"/>
  <c r="W8" i="6"/>
  <c r="W10" i="6"/>
  <c r="W13" i="6"/>
  <c r="W14" i="6"/>
  <c r="W12" i="6"/>
  <c r="W9" i="6"/>
  <c r="AE1" i="7"/>
  <c r="K20" i="8"/>
  <c r="J22" i="8"/>
  <c r="J31" i="8"/>
  <c r="J23" i="8"/>
  <c r="J24" i="8" s="1"/>
  <c r="J35" i="8"/>
  <c r="I25" i="8"/>
  <c r="BV4" i="7" l="1"/>
  <c r="BV34" i="7" s="1"/>
  <c r="AR4" i="7"/>
  <c r="AR34" i="7" s="1"/>
  <c r="J37" i="8"/>
  <c r="AM4" i="7"/>
  <c r="AP4" i="7" s="1"/>
  <c r="AS4" i="7" s="1"/>
  <c r="J27" i="8"/>
  <c r="J28" i="8" s="1"/>
  <c r="J25" i="8"/>
  <c r="C9" i="6"/>
  <c r="C10" i="6" s="1"/>
  <c r="AH1" i="7"/>
  <c r="L20" i="8"/>
  <c r="K22" i="8"/>
  <c r="K23" i="8"/>
  <c r="K24" i="8" s="1"/>
  <c r="AU4" i="7" l="1"/>
  <c r="AU34" i="7" s="1"/>
  <c r="BY4" i="7"/>
  <c r="BY34" i="7" s="1"/>
  <c r="K36" i="8"/>
  <c r="K35" i="8"/>
  <c r="K37" i="8"/>
  <c r="K31" i="8"/>
  <c r="K27" i="8"/>
  <c r="K28" i="8" s="1"/>
  <c r="K25" i="8"/>
  <c r="AK1" i="7"/>
  <c r="M20" i="8"/>
  <c r="L22" i="8"/>
  <c r="L31" i="8"/>
  <c r="L37" i="8"/>
  <c r="L35" i="8"/>
  <c r="L23" i="8"/>
  <c r="L24" i="8" s="1"/>
  <c r="L27" i="8" s="1"/>
  <c r="L36" i="8"/>
  <c r="L28" i="8" l="1"/>
  <c r="AV4" i="7"/>
  <c r="CB4" i="7"/>
  <c r="CB34" i="7" s="1"/>
  <c r="AX4" i="7"/>
  <c r="AX34" i="7" s="1"/>
  <c r="L25" i="8"/>
  <c r="N20" i="8"/>
  <c r="AN1" i="7"/>
  <c r="M23" i="8"/>
  <c r="M24" i="8" s="1"/>
  <c r="M27" i="8" s="1"/>
  <c r="M37" i="8"/>
  <c r="M31" i="8"/>
  <c r="M22" i="8"/>
  <c r="M35" i="8"/>
  <c r="M36" i="8"/>
  <c r="AY4" i="7" l="1"/>
  <c r="CE4" i="7" s="1"/>
  <c r="M28" i="8"/>
  <c r="N31" i="8"/>
  <c r="N35" i="8"/>
  <c r="N23" i="8"/>
  <c r="N24" i="8" s="1"/>
  <c r="N27" i="8" s="1"/>
  <c r="N37" i="8"/>
  <c r="N36" i="8"/>
  <c r="N22" i="8"/>
  <c r="M25" i="8"/>
  <c r="AQ1" i="7"/>
  <c r="BB4" i="7" l="1"/>
  <c r="BB34" i="7" s="1"/>
  <c r="BE4" i="7"/>
  <c r="BE34" i="7" s="1"/>
  <c r="B30" i="9"/>
  <c r="B29" i="9"/>
  <c r="B31" i="9"/>
  <c r="B32" i="9"/>
  <c r="B28" i="9"/>
  <c r="N28" i="8"/>
  <c r="AT1" i="7"/>
  <c r="N25" i="8"/>
  <c r="BH4" i="7" l="1"/>
  <c r="BH34" i="7" s="1"/>
  <c r="B33" i="9"/>
  <c r="C28" i="9" s="1"/>
  <c r="AW1" i="7"/>
  <c r="BK4" i="7" l="1"/>
  <c r="BK34" i="7" s="1"/>
  <c r="C29" i="9"/>
  <c r="C30" i="9"/>
  <c r="C32" i="9"/>
  <c r="C31" i="9"/>
  <c r="I33" i="8"/>
  <c r="I29" i="8" s="1"/>
  <c r="J33" i="8"/>
  <c r="K33" i="8"/>
  <c r="M33" i="8"/>
  <c r="N33" i="8"/>
  <c r="L33" i="8"/>
  <c r="G33" i="8"/>
  <c r="G32" i="8" s="1"/>
  <c r="H33" i="8"/>
  <c r="E33" i="8"/>
  <c r="F33" i="8"/>
  <c r="BN4" i="7" l="1"/>
  <c r="BN34" i="7" s="1"/>
  <c r="I32" i="8"/>
  <c r="C33" i="9"/>
  <c r="N32" i="8"/>
  <c r="N29" i="8"/>
  <c r="K32" i="8"/>
  <c r="K29" i="8"/>
  <c r="L32" i="8"/>
  <c r="L29" i="8"/>
  <c r="M32" i="8"/>
  <c r="M29" i="8"/>
  <c r="J32" i="8"/>
  <c r="J29" i="8"/>
  <c r="G29" i="8"/>
  <c r="H29" i="8"/>
  <c r="H32" i="8"/>
  <c r="E29" i="8"/>
  <c r="E32" i="8"/>
  <c r="F29" i="8"/>
  <c r="F32" i="8"/>
  <c r="BQ4" i="7" l="1"/>
  <c r="BQ34" i="7" s="1"/>
  <c r="BT4" i="7" l="1"/>
  <c r="BT34" i="7" s="1"/>
  <c r="C5" i="9"/>
  <c r="C4" i="9"/>
  <c r="C3" i="9"/>
  <c r="C2" i="9"/>
  <c r="BW4" i="7" l="1"/>
  <c r="BW34" i="7" s="1"/>
  <c r="C6" i="9"/>
  <c r="BZ4" i="7" l="1"/>
  <c r="BZ34" i="7" s="1"/>
  <c r="CC4" i="7" l="1"/>
  <c r="CC34" i="7"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sharedStrings.xml><?xml version="1.0" encoding="utf-8"?>
<sst xmlns="http://schemas.openxmlformats.org/spreadsheetml/2006/main" count="389" uniqueCount="182">
  <si>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</si>
  <si>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</si>
  <si>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</si>
  <si>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</si>
  <si>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</si>
  <si>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</si>
  <si>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</si>
  <si>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</si>
  <si>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</si>
  <si>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</si>
  <si>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</si>
  <si>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</si>
  <si>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</si>
  <si>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</si>
  <si>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</si>
  <si>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</si>
  <si>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</si>
  <si>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</si>
  <si>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</si>
  <si>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</si>
  <si>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</si>
  <si>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</si>
  <si>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</si>
  <si>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</si>
  <si>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</si>
  <si>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</si>
  <si>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</si>
  <si>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</si>
  <si>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</si>
  <si>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</si>
  <si>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</si>
  <si>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</si>
  <si>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</si>
  <si>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</si>
  <si>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</si>
  <si>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</si>
  <si>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</si>
  <si>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</si>
  <si>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</si>
  <si>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</si>
  <si>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</si>
  <si>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</si>
  <si>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</si>
  <si>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</si>
  <si>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</si>
  <si>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</si>
  <si>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</si>
  <si>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</si>
  <si>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</si>
  <si>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</si>
  <si>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</si>
  <si>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</si>
  <si>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</si>
  <si>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</si>
  <si>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</si>
  <si>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</si>
  <si>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</si>
  <si>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</si>
  <si>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</si>
  <si>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</si>
  <si>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</si>
  <si>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</si>
  <si>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</si>
  <si>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</si>
  <si>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</si>
  <si>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</si>
  <si>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</si>
  <si>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</si>
  <si>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</si>
  <si>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</si>
  <si>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</si>
  <si>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</si>
  <si>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</si>
  <si>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</si>
  <si>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</si>
  <si>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</si>
  <si>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</si>
  <si>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</si>
  <si>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</si>
  <si>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</si>
  <si>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</si>
  <si>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</si>
  <si>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</si>
  <si>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</si>
  <si>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</si>
  <si>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</si>
  <si>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</si>
  <si>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</si>
  <si>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</si>
  <si>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</si>
  <si>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</si>
  <si>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</si>
  <si>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</si>
  <si>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</si>
  <si>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t>
  </si>
  <si>
    <t>Mobile Phone</t>
  </si>
  <si>
    <t>Primary Phone</t>
  </si>
  <si>
    <t>Name</t>
  </si>
  <si>
    <t>Instant Messaging</t>
  </si>
  <si>
    <t>Alternate Email</t>
  </si>
  <si>
    <t>Alt Email</t>
  </si>
  <si>
    <t>Worktype</t>
  </si>
  <si>
    <t>Deliverable Area</t>
  </si>
  <si>
    <t>Work Type Breakdown</t>
  </si>
  <si>
    <t>Feature</t>
  </si>
  <si>
    <t>Tax</t>
  </si>
  <si>
    <t>Precondition</t>
  </si>
  <si>
    <t>Spike</t>
  </si>
  <si>
    <t>Functional Breakdown</t>
  </si>
  <si>
    <t>Data Model</t>
  </si>
  <si>
    <t>Integration Model</t>
  </si>
  <si>
    <t>System Frameworks</t>
  </si>
  <si>
    <t>Data Conversions</t>
  </si>
  <si>
    <t>Security</t>
  </si>
  <si>
    <t>Cash Payment Tracking</t>
  </si>
  <si>
    <t>Views</t>
  </si>
  <si>
    <t>Lookups</t>
  </si>
  <si>
    <t>Detail screens</t>
  </si>
  <si>
    <t>Notifications</t>
  </si>
  <si>
    <t>Reports</t>
  </si>
  <si>
    <t>Installation Package</t>
  </si>
  <si>
    <t>Deployment</t>
  </si>
  <si>
    <t>Documentation</t>
  </si>
  <si>
    <t>Testing</t>
  </si>
  <si>
    <t>Project Mgt</t>
  </si>
  <si>
    <t>Postponed</t>
  </si>
  <si>
    <t>Work Item Status</t>
  </si>
  <si>
    <t>Total</t>
  </si>
  <si>
    <t>Complete</t>
  </si>
  <si>
    <t>In Progress</t>
  </si>
  <si>
    <t>Pending</t>
  </si>
  <si>
    <t>Cancelled</t>
  </si>
  <si>
    <t>Unassigned</t>
  </si>
  <si>
    <t>написание баг-репорта</t>
  </si>
  <si>
    <t>Создание и подключение базы данных для сервера</t>
  </si>
  <si>
    <t>olha.rassokha@nure.ua</t>
  </si>
  <si>
    <t>Создание базовой части RESTful сервиса</t>
  </si>
  <si>
    <t>anna.nikonova@nure.ua</t>
  </si>
  <si>
    <t>Anastasia Fedorenko</t>
  </si>
  <si>
    <t>anastasiia.fedorenko@nure.ua</t>
  </si>
  <si>
    <t>Oleh Havrysh</t>
  </si>
  <si>
    <t>oleh.havrysh@nure.ua</t>
  </si>
  <si>
    <t>Oleksandr Shylin</t>
  </si>
  <si>
    <t>oleksandr.shylin1@nure.ua</t>
  </si>
  <si>
    <t>Irina Petrenko</t>
  </si>
  <si>
    <t>iryna.petrenko@nure.ua</t>
  </si>
  <si>
    <t>Olha Rassokha</t>
  </si>
  <si>
    <t>Anna Nikonova</t>
  </si>
  <si>
    <t>Ihor Kamianskiy</t>
  </si>
  <si>
    <t>kamyanskiy.i@gmail.com</t>
  </si>
  <si>
    <t>Создание системы поиска карт</t>
  </si>
  <si>
    <t>Создание разграничения карт на приватные и публичные</t>
  </si>
  <si>
    <t>написание тест-кейсов</t>
  </si>
  <si>
    <t>Проектирование интерфейса Android приложения</t>
  </si>
  <si>
    <t>Проектирование базы данных</t>
  </si>
  <si>
    <t>Создание каркаса серверной части</t>
  </si>
  <si>
    <t>Создание каркаса клиентской части</t>
  </si>
  <si>
    <t>Интеграция Google Maps API в клиентское приложение</t>
  </si>
  <si>
    <t>Добавление базовой логики для работы с сервером в Android приложение</t>
  </si>
  <si>
    <t>Добавление логики обработки характеристик в серверной части и расширение API.</t>
  </si>
  <si>
    <t>заполнение документации</t>
  </si>
  <si>
    <t>Создание окна просмотра информации о метке в клиентском приложении</t>
  </si>
  <si>
    <t>Добавление функции редактирования в окно просмотра информации о метке</t>
  </si>
  <si>
    <t>Добавление API для редактирования конкретных свойств метки</t>
  </si>
  <si>
    <t>SRS</t>
  </si>
  <si>
    <t>диаграмма компонентов</t>
  </si>
  <si>
    <t>диаграмма активностей</t>
  </si>
  <si>
    <t>ihor.kamianskiy@nure.ua</t>
  </si>
  <si>
    <t>написание тест-плана</t>
  </si>
  <si>
    <t>тестирование системы поиска карт</t>
  </si>
  <si>
    <t>Как пользователь, я хочу видеть карту после входа в приложение, чтобы находить на ней интересующие объекты</t>
  </si>
  <si>
    <t>Как зарегистрированный пользователь, я хочу добавить метку на свою карту, чтобы в будущем знать, где находится тот или иной объект</t>
  </si>
  <si>
    <t>Как зарегистрированный пользователь, я хочу добавлять характеристики к добавленным меткам, чтобы использовать эту информацию в дальнейшем для поиска и сортировки</t>
  </si>
  <si>
    <t>Как пользователь я хочу просматривать информацию о метке, чтобы узнавать о ней дополнительную информацию</t>
  </si>
  <si>
    <t>Как пользователь я хочу искать карты других пользователей, чтобы просматривать их и добавлять на них свои объекты.</t>
  </si>
  <si>
    <t>Как пользователь я хочу иметь возможность накладывать карты друг на друга, чтобы быстрее находить объекты.</t>
  </si>
  <si>
    <t>Как зарегистрированный пользователь, я хочу отредактировать информацию о метке, чтобы эта информация была более актуальной</t>
  </si>
  <si>
    <t>тестирование функции редактирования метки</t>
  </si>
  <si>
    <t>тестирование интерфейса окна просмотра информации о метке</t>
  </si>
  <si>
    <t>тестирование функции накладывания карт друг на друга</t>
  </si>
  <si>
    <t>тестирование разграничения доступа к картам</t>
  </si>
  <si>
    <t>Как незарегистрированный пользователь, я хочу просмотреть карты других пользователей, чтобы узнать, где находится интересующий меня объект</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</si>
</sst>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409]d\-mmm\-yy;@"/>
    <numFmt numFmtId="165" formatCode="0.0"/>
    <numFmt numFmtId="166" formatCode="0_);[Red]\(0\)"/>
    <numFmt numFmtId="167" formatCode="dd"/>
    <numFmt numFmtId="168" formatCode="ddd"/>
    <numFmt numFmtId="169" formatCode="[$-F800]dddd\,\ mmmm\ dd\,\ yyyy"/>
  </numFmts>
  <fonts count="49" x14ac:knownFonts="1">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u/>
      <sz val="11"/>
      <color rgb="FF0000FF"/>
      <name val="Calibri"/>
      <family val="2"/>
      <charset val="204"/>
    </font>
    <font>
      <sz val="12"/>
      <name val="Tahoma"/>
      <family val="2"/>
    </font>
    <font>
      <sz val="12"/>
      <color rgb="FF000000"/>
      <name val="Arial"/>
      <family val="2"/>
      <charset val="204"/>
    </font>
  </fonts>
  <fills count="4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rgb="FFB9CDE5"/>
        <bgColor rgb="FFC0C0C0"/>
      </patternFill>
    </fill>
    <fill>
      <patternFill patternType="solid">
        <fgColor rgb="FFFFFF00"/>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6" tint="-0.249977111117893"/>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rgb="FFFFC000"/>
        <bgColor indexed="64"/>
      </patternFill>
    </fill>
    <fill>
      <patternFill patternType="solid">
        <fgColor rgb="FF00B0F0"/>
        <bgColor indexed="64"/>
      </patternFill>
    </fill>
  </fills>
  <borders count="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medium">
        <color rgb="FF000000"/>
      </left>
      <right style="medium">
        <color rgb="FF000000"/>
      </right>
      <top style="medium">
        <color rgb="FF000000"/>
      </top>
      <bottom style="medium">
        <color rgb="FF000000"/>
      </bottom>
      <diagonal/>
    </border>
    <border>
      <left style="thin">
        <color indexed="64"/>
      </left>
      <right/>
      <top/>
      <bottom/>
      <diagonal/>
    </border>
  </borders>
  <cellStyleXfs count="46">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cellStyleXfs>
  <cellXfs count="207">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0" xfId="0" applyFont="1" applyFill="1" applyBorder="1"/>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36" xfId="0" applyFont="1" applyFill="1" applyBorder="1"/>
    <xf numFmtId="0" fontId="21" fillId="21" borderId="37" xfId="0" applyFont="1" applyFill="1" applyBorder="1"/>
    <xf numFmtId="0" fontId="25" fillId="21" borderId="37" xfId="0" applyFont="1" applyFill="1" applyBorder="1"/>
    <xf numFmtId="0" fontId="25" fillId="21" borderId="38" xfId="0" applyFont="1" applyFill="1" applyBorder="1"/>
    <xf numFmtId="0" fontId="25" fillId="21" borderId="36" xfId="0" applyFont="1" applyFill="1" applyBorder="1"/>
    <xf numFmtId="0" fontId="25" fillId="28" borderId="37"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39" xfId="0" applyFont="1" applyFill="1" applyBorder="1" applyAlignment="1">
      <alignment horizontal="center"/>
    </xf>
    <xf numFmtId="0" fontId="33" fillId="30" borderId="40" xfId="0" applyFont="1" applyFill="1" applyBorder="1" applyAlignment="1">
      <alignment horizontal="left"/>
    </xf>
    <xf numFmtId="0" fontId="33" fillId="30" borderId="41" xfId="0" applyFont="1" applyFill="1" applyBorder="1" applyAlignment="1">
      <alignment horizontal="center"/>
    </xf>
    <xf numFmtId="0" fontId="33" fillId="30" borderId="42" xfId="0" applyFont="1" applyFill="1" applyBorder="1" applyAlignment="1">
      <alignment horizontal="center"/>
    </xf>
    <xf numFmtId="0" fontId="33" fillId="30" borderId="43" xfId="0" applyFont="1" applyFill="1" applyBorder="1" applyAlignment="1">
      <alignment horizontal="center"/>
    </xf>
    <xf numFmtId="0" fontId="33" fillId="30" borderId="44" xfId="0" applyFont="1" applyFill="1" applyBorder="1" applyAlignment="1">
      <alignment horizontal="center"/>
    </xf>
    <xf numFmtId="0" fontId="33" fillId="30" borderId="45"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21" fillId="30" borderId="48" xfId="0" applyFont="1" applyFill="1" applyBorder="1" applyAlignment="1">
      <alignment horizontal="left"/>
    </xf>
    <xf numFmtId="0" fontId="21" fillId="30" borderId="49" xfId="0" applyFont="1" applyFill="1" applyBorder="1" applyAlignment="1">
      <alignment horizontal="left"/>
    </xf>
    <xf numFmtId="0" fontId="21" fillId="30" borderId="50" xfId="0" applyFont="1" applyFill="1" applyBorder="1" applyAlignment="1">
      <alignment horizontal="left"/>
    </xf>
    <xf numFmtId="0" fontId="21" fillId="0" borderId="51" xfId="0" applyFont="1" applyFill="1" applyBorder="1"/>
    <xf numFmtId="0" fontId="21" fillId="0" borderId="52" xfId="0" applyFont="1" applyFill="1" applyBorder="1" applyAlignment="1">
      <alignment horizontal="left" vertical="top"/>
    </xf>
    <xf numFmtId="0" fontId="21" fillId="0" borderId="53" xfId="0" applyFont="1" applyFill="1" applyBorder="1" applyAlignment="1">
      <alignment horizontal="left"/>
    </xf>
    <xf numFmtId="0" fontId="21" fillId="0" borderId="53" xfId="36" applyFont="1" applyFill="1" applyBorder="1" applyAlignment="1" applyProtection="1">
      <alignment horizontal="left" wrapText="1"/>
    </xf>
    <xf numFmtId="0" fontId="21" fillId="0" borderId="54"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46" fillId="31" borderId="11" xfId="36" applyFont="1" applyFill="1" applyBorder="1" applyAlignment="1" applyProtection="1"/>
    <xf numFmtId="0" fontId="1" fillId="0" borderId="11" xfId="36" applyBorder="1" applyAlignment="1" applyProtection="1"/>
    <xf numFmtId="0" fontId="1" fillId="31" borderId="11" xfId="36" applyFill="1" applyBorder="1" applyAlignment="1" applyProtection="1"/>
    <xf numFmtId="49" fontId="47" fillId="0" borderId="10" xfId="0" applyNumberFormat="1" applyFont="1" applyFill="1" applyBorder="1" applyAlignment="1">
      <alignment horizontal="left" indent="1"/>
    </xf>
    <xf numFmtId="0" fontId="47" fillId="0" borderId="11" xfId="0" applyNumberFormat="1" applyFont="1" applyFill="1" applyBorder="1" applyAlignment="1">
      <alignment horizontal="left" indent="1"/>
    </xf>
    <xf numFmtId="0" fontId="48" fillId="0" borderId="59" xfId="0" applyFont="1" applyBorder="1" applyAlignment="1">
      <alignment vertical="center" wrapText="1"/>
    </xf>
    <xf numFmtId="0" fontId="47" fillId="21" borderId="12" xfId="0" applyFont="1" applyFill="1" applyBorder="1" applyAlignment="1">
      <alignment horizontal="center"/>
    </xf>
    <xf numFmtId="49" fontId="47" fillId="0" borderId="11" xfId="0" applyNumberFormat="1" applyFont="1" applyFill="1" applyBorder="1" applyAlignment="1">
      <alignment horizontal="left"/>
    </xf>
    <xf numFmtId="0" fontId="0" fillId="32" borderId="11" xfId="0" applyFill="1" applyBorder="1"/>
    <xf numFmtId="0" fontId="48" fillId="33" borderId="0" xfId="0" applyFont="1" applyFill="1"/>
    <xf numFmtId="0" fontId="48" fillId="34" borderId="0" xfId="0" applyFont="1" applyFill="1"/>
    <xf numFmtId="0" fontId="48" fillId="35" borderId="0" xfId="0" applyFont="1" applyFill="1"/>
    <xf numFmtId="0" fontId="48" fillId="36" borderId="0" xfId="0" applyFont="1" applyFill="1"/>
    <xf numFmtId="0" fontId="48" fillId="38" borderId="0" xfId="0" applyFont="1" applyFill="1"/>
    <xf numFmtId="49" fontId="47" fillId="37" borderId="10" xfId="0" applyNumberFormat="1" applyFont="1" applyFill="1" applyBorder="1" applyAlignment="1">
      <alignment horizontal="left" indent="1"/>
    </xf>
    <xf numFmtId="0" fontId="0" fillId="39" borderId="11" xfId="0" applyFill="1" applyBorder="1"/>
    <xf numFmtId="0" fontId="48" fillId="40" borderId="0" xfId="0" applyFont="1" applyFill="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8" fillId="23" borderId="60" xfId="0" applyFont="1" applyFill="1" applyBorder="1" applyAlignment="1">
      <alignment horizontal="right"/>
    </xf>
    <xf numFmtId="0" fontId="28" fillId="23" borderId="0" xfId="0" applyFont="1" applyFill="1" applyBorder="1" applyAlignment="1">
      <alignment horizontal="right"/>
    </xf>
    <xf numFmtId="0" fontId="36" fillId="28" borderId="55" xfId="0" applyFont="1" applyFill="1" applyBorder="1" applyAlignment="1">
      <alignment horizontal="center"/>
    </xf>
    <xf numFmtId="0" fontId="36" fillId="28" borderId="56" xfId="0" applyFont="1" applyFill="1" applyBorder="1" applyAlignment="1">
      <alignment horizontal="center"/>
    </xf>
    <xf numFmtId="0" fontId="36" fillId="28" borderId="57" xfId="0" applyFont="1" applyFill="1" applyBorder="1" applyAlignment="1">
      <alignment horizontal="center"/>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58" xfId="0" applyNumberFormat="1"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cellXfs>
  <cellStyles count="46">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Emphasis 1" xfId="28"/>
    <cellStyle name="Emphasis 2" xfId="29"/>
    <cellStyle name="Emphasis 3" xfId="30"/>
    <cellStyle name="Normal 2" xfId="45"/>
    <cellStyle name="Sheet Title" xfId="42"/>
    <cellStyle name="Акцент1" xfId="1" builtinId="29" customBuiltin="1"/>
    <cellStyle name="Акцент2" xfId="5" builtinId="33" customBuiltin="1"/>
    <cellStyle name="Акцент3" xfId="9" builtinId="37" customBuiltin="1"/>
    <cellStyle name="Акцент4" xfId="13" builtinId="41" customBuiltin="1"/>
    <cellStyle name="Акцент5" xfId="17" builtinId="45" customBuiltin="1"/>
    <cellStyle name="Акцент6" xfId="21" builtinId="49" customBuiltin="1"/>
    <cellStyle name="Ввод " xfId="37" builtinId="20" customBuiltin="1"/>
    <cellStyle name="Вывод" xfId="41" builtinId="21" customBuiltin="1"/>
    <cellStyle name="Вычисление" xfId="26" builtinId="22" customBuiltin="1"/>
    <cellStyle name="Гиперссылка" xfId="36" builtinId="8"/>
    <cellStyle name="Заголовок 1" xfId="32" builtinId="16" customBuiltin="1"/>
    <cellStyle name="Заголовок 2" xfId="33" builtinId="17" customBuiltin="1"/>
    <cellStyle name="Заголовок 3" xfId="34" builtinId="18" customBuiltin="1"/>
    <cellStyle name="Заголовок 4" xfId="35" builtinId="19" customBuiltin="1"/>
    <cellStyle name="Итог" xfId="43" builtinId="25" customBuiltin="1"/>
    <cellStyle name="Контрольная ячейка" xfId="27" builtinId="23" customBuiltin="1"/>
    <cellStyle name="Нейтральный" xfId="39" builtinId="28" customBuiltin="1"/>
    <cellStyle name="Обычный" xfId="0" builtinId="0"/>
    <cellStyle name="Плохой" xfId="25" builtinId="27" customBuiltin="1"/>
    <cellStyle name="Примечание" xfId="40" builtinId="10" customBuiltin="1"/>
    <cellStyle name="Связанная ячейка" xfId="38" builtinId="24" customBuiltin="1"/>
    <cellStyle name="Текст предупреждения" xfId="44" builtinId="11" customBuiltin="1"/>
    <cellStyle name="Хороший" xfId="31" builtinId="26" customBuiltin="1"/>
  </cellStyles>
  <dxfs count="122">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ill>
        <patternFill patternType="lightDown">
          <fgColor indexed="22"/>
          <bgColor indexed="65"/>
        </patternFill>
      </fill>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22"/>
      </font>
      <fill>
        <patternFill patternType="solid">
          <fgColor indexed="22"/>
          <bgColor indexed="22"/>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21"/>
      <tableStyleElement type="headerRow" dxfId="120"/>
    </tableStyle>
  </tableStyles>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Workitem Cumulative Flow</a:t>
            </a:r>
          </a:p>
        </c:rich>
      </c:tx>
      <c:layout>
        <c:manualLayout>
          <c:xMode val="edge"/>
          <c:yMode val="edge"/>
          <c:x val="0.17505054923690092"/>
          <c:y val="3.8461645124548111E-2"/>
        </c:manualLayout>
      </c:layout>
      <c:overlay val="0"/>
    </c:title>
    <c:autoTitleDeleted val="0"/>
    <c:plotArea>
      <c:layout>
        <c:manualLayout>
          <c:layoutTarget val="inner"/>
          <c:xMode val="edge"/>
          <c:yMode val="edge"/>
          <c:x val="0.12577209098862638"/>
          <c:y val="0.16981163364466695"/>
          <c:w val="0.81713108778069421"/>
          <c:h val="0.54213915713366023"/>
        </c:manualLayout>
      </c:layout>
      <c:areaChart>
        <c:grouping val="stacked"/>
        <c:varyColors val="0"/>
        <c:ser>
          <c:idx val="0"/>
          <c:order val="0"/>
          <c:tx>
            <c:v>Complete</c:v>
          </c:tx>
          <c:spPr>
            <a:solidFill>
              <a:srgbClr val="00B050"/>
            </a:solidFill>
          </c:spPr>
          <c:cat>
            <c:numRef>
              <c:f>Analysis!$E$19:$N$19</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Analysis!$E$37:$N$37</c:f>
              <c:numCache>
                <c:formatCode>General</c:formatCode>
                <c:ptCount val="10"/>
                <c:pt idx="0">
                  <c:v>0</c:v>
                </c:pt>
                <c:pt idx="1">
                  <c:v>1</c:v>
                </c:pt>
                <c:pt idx="2">
                  <c:v>4</c:v>
                </c:pt>
                <c:pt idx="3">
                  <c:v>7</c:v>
                </c:pt>
                <c:pt idx="4">
                  <c:v>9</c:v>
                </c:pt>
                <c:pt idx="5">
                  <c:v>11</c:v>
                </c:pt>
                <c:pt idx="6">
                  <c:v>13</c:v>
                </c:pt>
                <c:pt idx="7">
                  <c:v>17</c:v>
                </c:pt>
                <c:pt idx="8">
                  <c:v>18</c:v>
                </c:pt>
                <c:pt idx="9">
                  <c:v>24</c:v>
                </c:pt>
              </c:numCache>
            </c:numRef>
          </c:val>
        </c:ser>
        <c:ser>
          <c:idx val="1"/>
          <c:order val="1"/>
          <c:tx>
            <c:v>In Progress</c:v>
          </c:tx>
          <c:spPr>
            <a:solidFill>
              <a:srgbClr val="FFFF00"/>
            </a:solidFill>
          </c:spPr>
          <c:cat>
            <c:numRef>
              <c:f>Analysis!$E$19:$N$19</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Analysis!$E$36:$N$36</c:f>
              <c:numCache>
                <c:formatCode>General</c:formatCode>
                <c:ptCount val="10"/>
                <c:pt idx="0">
                  <c:v>7</c:v>
                </c:pt>
                <c:pt idx="1">
                  <c:v>6</c:v>
                </c:pt>
                <c:pt idx="2">
                  <c:v>6</c:v>
                </c:pt>
                <c:pt idx="3">
                  <c:v>7</c:v>
                </c:pt>
                <c:pt idx="4">
                  <c:v>6</c:v>
                </c:pt>
                <c:pt idx="5">
                  <c:v>6</c:v>
                </c:pt>
                <c:pt idx="6">
                  <c:v>7</c:v>
                </c:pt>
                <c:pt idx="7">
                  <c:v>5</c:v>
                </c:pt>
                <c:pt idx="8">
                  <c:v>6</c:v>
                </c:pt>
                <c:pt idx="9">
                  <c:v>0</c:v>
                </c:pt>
              </c:numCache>
            </c:numRef>
          </c:val>
        </c:ser>
        <c:ser>
          <c:idx val="2"/>
          <c:order val="2"/>
          <c:tx>
            <c:v>Pending</c:v>
          </c:tx>
          <c:spPr>
            <a:solidFill>
              <a:schemeClr val="bg2">
                <a:lumMod val="90000"/>
              </a:schemeClr>
            </a:solidFill>
          </c:spPr>
          <c:val>
            <c:numRef>
              <c:f>Analysis!$E$35:$N$35</c:f>
              <c:numCache>
                <c:formatCode>General</c:formatCode>
                <c:ptCount val="10"/>
                <c:pt idx="0">
                  <c:v>17</c:v>
                </c:pt>
                <c:pt idx="1">
                  <c:v>17</c:v>
                </c:pt>
                <c:pt idx="2">
                  <c:v>14</c:v>
                </c:pt>
                <c:pt idx="3">
                  <c:v>10</c:v>
                </c:pt>
                <c:pt idx="4">
                  <c:v>9</c:v>
                </c:pt>
                <c:pt idx="5">
                  <c:v>7</c:v>
                </c:pt>
                <c:pt idx="6">
                  <c:v>4</c:v>
                </c:pt>
                <c:pt idx="7">
                  <c:v>2</c:v>
                </c:pt>
                <c:pt idx="8">
                  <c:v>0</c:v>
                </c:pt>
                <c:pt idx="9">
                  <c:v>0</c:v>
                </c:pt>
              </c:numCache>
            </c:numRef>
          </c:val>
        </c:ser>
        <c:dLbls>
          <c:showLegendKey val="0"/>
          <c:showVal val="0"/>
          <c:showCatName val="0"/>
          <c:showSerName val="0"/>
          <c:showPercent val="0"/>
          <c:showBubbleSize val="0"/>
        </c:dLbls>
        <c:axId val="588459008"/>
        <c:axId val="588280320"/>
      </c:areaChart>
      <c:catAx>
        <c:axId val="588459008"/>
        <c:scaling>
          <c:orientation val="minMax"/>
        </c:scaling>
        <c:delete val="0"/>
        <c:axPos val="b"/>
        <c:title>
          <c:tx>
            <c:rich>
              <a:bodyPr/>
              <a:lstStyle/>
              <a:p>
                <a:pPr>
                  <a:defRPr sz="1400"/>
                </a:pPr>
                <a:r>
                  <a:rPr lang="en-US" sz="1400"/>
                  <a:t>Days</a:t>
                </a:r>
              </a:p>
            </c:rich>
          </c:tx>
          <c:layout>
            <c:manualLayout>
              <c:xMode val="edge"/>
              <c:yMode val="edge"/>
              <c:x val="0.51515407796247692"/>
              <c:y val="0.79516822661318864"/>
            </c:manualLayout>
          </c:layout>
          <c:overlay val="0"/>
        </c:title>
        <c:numFmt formatCode="General" sourceLinked="0"/>
        <c:majorTickMark val="out"/>
        <c:minorTickMark val="none"/>
        <c:tickLblPos val="nextTo"/>
        <c:txPr>
          <a:bodyPr rot="-2700000" vert="horz"/>
          <a:lstStyle/>
          <a:p>
            <a:pPr>
              <a:defRPr/>
            </a:pPr>
            <a:endParaRPr lang="ru-RU"/>
          </a:p>
        </c:txPr>
        <c:crossAx val="588280320"/>
        <c:crosses val="autoZero"/>
        <c:auto val="1"/>
        <c:lblAlgn val="ctr"/>
        <c:lblOffset val="100"/>
        <c:tickLblSkip val="3"/>
        <c:tickMarkSkip val="1"/>
        <c:noMultiLvlLbl val="1"/>
      </c:catAx>
      <c:valAx>
        <c:axId val="588280320"/>
        <c:scaling>
          <c:orientation val="minMax"/>
          <c:min val="0"/>
        </c:scaling>
        <c:delete val="0"/>
        <c:axPos val="l"/>
        <c:majorGridlines/>
        <c:title>
          <c:tx>
            <c:rich>
              <a:bodyPr/>
              <a:lstStyle/>
              <a:p>
                <a:pPr>
                  <a:defRPr sz="1400"/>
                </a:pPr>
                <a:r>
                  <a:rPr lang="en-US" sz="1400"/>
                  <a:t>Work Item Count</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588459008"/>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391"/>
          <c:w val="0.92308569067755464"/>
          <c:h val="7.5018075570742374E-2"/>
        </c:manualLayout>
      </c:layout>
      <c:overlay val="0"/>
    </c:legend>
    <c:plotVisOnly val="1"/>
    <c:dispBlanksAs val="zero"/>
    <c:showDLblsOverMax val="0"/>
  </c:chart>
  <c:spPr>
    <a:solidFill>
      <a:srgbClr val="FFFFFF"/>
    </a:solidFill>
  </c:spPr>
  <c:printSettings>
    <c:headerFooter/>
    <c:pageMargins b="0.75000000000000366" l="0.70000000000000062" r="0.70000000000000062" t="0.75000000000000366"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011257386832118"/>
          <c:y val="0.17669172932330818"/>
          <c:w val="0.87100657289633654"/>
          <c:h val="0.46992481203007747"/>
        </c:manualLayout>
      </c:layout>
      <c:areaChart>
        <c:grouping val="stacked"/>
        <c:varyColors val="0"/>
        <c:ser>
          <c:idx val="0"/>
          <c:order val="0"/>
          <c:tx>
            <c:v>Complete</c:v>
          </c:tx>
          <c:spPr>
            <a:solidFill>
              <a:srgbClr val="00B050"/>
            </a:solidFill>
          </c:spPr>
          <c:cat>
            <c:numRef>
              <c:f>Analysis!$E$19:$N$19</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Analysis!$E$33:$N$33</c:f>
              <c:numCache>
                <c:formatCode>General</c:formatCode>
                <c:ptCount val="10"/>
                <c:pt idx="0">
                  <c:v>0</c:v>
                </c:pt>
                <c:pt idx="1">
                  <c:v>4</c:v>
                </c:pt>
                <c:pt idx="2">
                  <c:v>19</c:v>
                </c:pt>
                <c:pt idx="3">
                  <c:v>35</c:v>
                </c:pt>
                <c:pt idx="4">
                  <c:v>45</c:v>
                </c:pt>
                <c:pt idx="5">
                  <c:v>63</c:v>
                </c:pt>
                <c:pt idx="6">
                  <c:v>76</c:v>
                </c:pt>
                <c:pt idx="7">
                  <c:v>93</c:v>
                </c:pt>
                <c:pt idx="8">
                  <c:v>95</c:v>
                </c:pt>
                <c:pt idx="9">
                  <c:v>130</c:v>
                </c:pt>
              </c:numCache>
            </c:numRef>
          </c:val>
        </c:ser>
        <c:ser>
          <c:idx val="1"/>
          <c:order val="1"/>
          <c:tx>
            <c:v>In Progress</c:v>
          </c:tx>
          <c:spPr>
            <a:solidFill>
              <a:srgbClr val="FFFF00"/>
            </a:solidFill>
          </c:spPr>
          <c:cat>
            <c:numRef>
              <c:f>Analysis!$E$19:$N$19</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Analysis!$E$32:$N$32</c:f>
              <c:numCache>
                <c:formatCode>0</c:formatCode>
                <c:ptCount val="10"/>
                <c:pt idx="0">
                  <c:v>50</c:v>
                </c:pt>
                <c:pt idx="1">
                  <c:v>46</c:v>
                </c:pt>
                <c:pt idx="2">
                  <c:v>43</c:v>
                </c:pt>
                <c:pt idx="3">
                  <c:v>52</c:v>
                </c:pt>
                <c:pt idx="4">
                  <c:v>49</c:v>
                </c:pt>
                <c:pt idx="5">
                  <c:v>40</c:v>
                </c:pt>
                <c:pt idx="6">
                  <c:v>41</c:v>
                </c:pt>
                <c:pt idx="7">
                  <c:v>37</c:v>
                </c:pt>
                <c:pt idx="8">
                  <c:v>40</c:v>
                </c:pt>
                <c:pt idx="9">
                  <c:v>5</c:v>
                </c:pt>
              </c:numCache>
            </c:numRef>
          </c:val>
        </c:ser>
        <c:ser>
          <c:idx val="2"/>
          <c:order val="2"/>
          <c:tx>
            <c:v>Pending</c:v>
          </c:tx>
          <c:spPr>
            <a:solidFill>
              <a:schemeClr val="bg2">
                <a:lumMod val="90000"/>
              </a:schemeClr>
            </a:solidFill>
          </c:spPr>
          <c:cat>
            <c:numRef>
              <c:f>Analysis!$E$19:$N$19</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Analysis!$E$31:$N$31</c:f>
              <c:numCache>
                <c:formatCode>General</c:formatCode>
                <c:ptCount val="10"/>
                <c:pt idx="0">
                  <c:v>85</c:v>
                </c:pt>
                <c:pt idx="1">
                  <c:v>85</c:v>
                </c:pt>
                <c:pt idx="2">
                  <c:v>73</c:v>
                </c:pt>
                <c:pt idx="3">
                  <c:v>48</c:v>
                </c:pt>
                <c:pt idx="4">
                  <c:v>41</c:v>
                </c:pt>
                <c:pt idx="5">
                  <c:v>32</c:v>
                </c:pt>
                <c:pt idx="6">
                  <c:v>18</c:v>
                </c:pt>
                <c:pt idx="7">
                  <c:v>5</c:v>
                </c:pt>
                <c:pt idx="8">
                  <c:v>0</c:v>
                </c:pt>
                <c:pt idx="9">
                  <c:v>0</c:v>
                </c:pt>
              </c:numCache>
            </c:numRef>
          </c:val>
        </c:ser>
        <c:dLbls>
          <c:showLegendKey val="0"/>
          <c:showVal val="0"/>
          <c:showCatName val="0"/>
          <c:showSerName val="0"/>
          <c:showPercent val="0"/>
          <c:showBubbleSize val="0"/>
        </c:dLbls>
        <c:axId val="588599808"/>
        <c:axId val="588283200"/>
      </c:areaChart>
      <c:lineChart>
        <c:grouping val="standard"/>
        <c:varyColors val="0"/>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dispRSqr val="0"/>
            <c:dispEq val="0"/>
          </c:trendline>
          <c:cat>
            <c:numRef>
              <c:f>Analysis!$E$19:$N$19</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Analysis!$E$22:$N$22</c:f>
              <c:numCache>
                <c:formatCode>General</c:formatCode>
                <c:ptCount val="10"/>
                <c:pt idx="0">
                  <c:v>121</c:v>
                </c:pt>
                <c:pt idx="1">
                  <c:v>107</c:v>
                </c:pt>
                <c:pt idx="2">
                  <c:v>94</c:v>
                </c:pt>
                <c:pt idx="3">
                  <c:v>80</c:v>
                </c:pt>
                <c:pt idx="4">
                  <c:v>67</c:v>
                </c:pt>
                <c:pt idx="5">
                  <c:v>54</c:v>
                </c:pt>
                <c:pt idx="6">
                  <c:v>42</c:v>
                </c:pt>
                <c:pt idx="7">
                  <c:v>28</c:v>
                </c:pt>
                <c:pt idx="8">
                  <c:v>15</c:v>
                </c:pt>
                <c:pt idx="9">
                  <c:v>0</c:v>
                </c:pt>
              </c:numCache>
            </c:numRef>
          </c:val>
          <c:smooth val="0"/>
        </c:ser>
        <c:ser>
          <c:idx val="4"/>
          <c:order val="4"/>
          <c:tx>
            <c:v>Effort</c:v>
          </c:tx>
          <c:spPr>
            <a:ln w="25400">
              <a:solidFill>
                <a:schemeClr val="accent1"/>
              </a:solidFill>
            </a:ln>
          </c:spPr>
          <c:marker>
            <c:symbol val="circle"/>
            <c:size val="3"/>
            <c:spPr>
              <a:solidFill>
                <a:schemeClr val="accent1"/>
              </a:solidFill>
              <a:ln w="3175"/>
            </c:spPr>
          </c:marker>
          <c:val>
            <c:numRef>
              <c:f>Analysis!$E$24:$N$24</c:f>
              <c:numCache>
                <c:formatCode>General</c:formatCode>
                <c:ptCount val="10"/>
                <c:pt idx="0">
                  <c:v>14</c:v>
                </c:pt>
                <c:pt idx="1">
                  <c:v>28</c:v>
                </c:pt>
                <c:pt idx="2">
                  <c:v>41</c:v>
                </c:pt>
                <c:pt idx="3">
                  <c:v>55</c:v>
                </c:pt>
                <c:pt idx="4">
                  <c:v>68</c:v>
                </c:pt>
                <c:pt idx="5">
                  <c:v>81</c:v>
                </c:pt>
                <c:pt idx="6">
                  <c:v>93</c:v>
                </c:pt>
                <c:pt idx="7">
                  <c:v>107</c:v>
                </c:pt>
                <c:pt idx="8">
                  <c:v>120</c:v>
                </c:pt>
                <c:pt idx="9">
                  <c:v>135</c:v>
                </c:pt>
              </c:numCache>
            </c:numRef>
          </c:val>
          <c:smooth val="1"/>
        </c:ser>
        <c:dLbls>
          <c:showLegendKey val="0"/>
          <c:showVal val="0"/>
          <c:showCatName val="0"/>
          <c:showSerName val="0"/>
          <c:showPercent val="0"/>
          <c:showBubbleSize val="0"/>
        </c:dLbls>
        <c:marker val="1"/>
        <c:smooth val="0"/>
        <c:axId val="588599808"/>
        <c:axId val="588283200"/>
      </c:lineChart>
      <c:catAx>
        <c:axId val="588599808"/>
        <c:scaling>
          <c:orientation val="minMax"/>
        </c:scaling>
        <c:delete val="0"/>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overlay val="0"/>
        </c:title>
        <c:numFmt formatCode="General" sourceLinked="0"/>
        <c:majorTickMark val="out"/>
        <c:minorTickMark val="none"/>
        <c:tickLblPos val="nextTo"/>
        <c:txPr>
          <a:bodyPr rot="-2700000" vert="horz"/>
          <a:lstStyle/>
          <a:p>
            <a:pPr>
              <a:defRPr/>
            </a:pPr>
            <a:endParaRPr lang="ru-RU"/>
          </a:p>
        </c:txPr>
        <c:crossAx val="588283200"/>
        <c:crosses val="autoZero"/>
        <c:auto val="1"/>
        <c:lblAlgn val="ctr"/>
        <c:lblOffset val="100"/>
        <c:tickLblSkip val="3"/>
        <c:tickMarkSkip val="1"/>
        <c:noMultiLvlLbl val="1"/>
      </c:catAx>
      <c:valAx>
        <c:axId val="588283200"/>
        <c:scaling>
          <c:orientation val="minMax"/>
          <c:min val="0"/>
        </c:scaling>
        <c:delete val="0"/>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
            </c:manualLayout>
          </c:layout>
          <c:overlay val="0"/>
        </c:title>
        <c:numFmt formatCode="General" sourceLinked="1"/>
        <c:majorTickMark val="out"/>
        <c:minorTickMark val="none"/>
        <c:tickLblPos val="nextTo"/>
        <c:txPr>
          <a:bodyPr rot="0" vert="horz"/>
          <a:lstStyle/>
          <a:p>
            <a:pPr>
              <a:defRPr/>
            </a:pPr>
            <a:endParaRPr lang="ru-RU"/>
          </a:p>
        </c:txPr>
        <c:crossAx val="588599808"/>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overlay val="0"/>
    </c:legend>
    <c:plotVisOnly val="1"/>
    <c:dispBlanksAs val="zero"/>
    <c:showDLblsOverMax val="0"/>
  </c:chart>
  <c:spPr>
    <a:solidFill>
      <a:srgbClr val="FFFFFF"/>
    </a:solidFill>
  </c:spPr>
  <c:printSettings>
    <c:headerFooter/>
    <c:pageMargins b="0.75000000000000366" l="0.70000000000000062" r="0.70000000000000062" t="0.75000000000000366"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c:f>
              <c:strCache>
                <c:ptCount val="1"/>
                <c:pt idx="0">
                  <c:v>Feature</c:v>
                </c:pt>
              </c:strCache>
            </c:strRef>
          </c:tx>
          <c:invertIfNegative val="0"/>
          <c:val>
            <c:numRef>
              <c:f>'Project Specific Reports'!$B$2</c:f>
              <c:numCache>
                <c:formatCode>General</c:formatCode>
                <c:ptCount val="1"/>
                <c:pt idx="0">
                  <c:v>0</c:v>
                </c:pt>
              </c:numCache>
            </c:numRef>
          </c:val>
        </c:ser>
        <c:ser>
          <c:idx val="1"/>
          <c:order val="1"/>
          <c:tx>
            <c:strRef>
              <c:f>'Project Specific Reports'!$A$3</c:f>
              <c:strCache>
                <c:ptCount val="1"/>
                <c:pt idx="0">
                  <c:v>Tax</c:v>
                </c:pt>
              </c:strCache>
            </c:strRef>
          </c:tx>
          <c:invertIfNegative val="0"/>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invertIfNegative val="0"/>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invertIfNegative val="0"/>
          <c:val>
            <c:numRef>
              <c:f>'Project Specific Reports'!$B$5</c:f>
              <c:numCache>
                <c:formatCode>General</c:formatCode>
                <c:ptCount val="1"/>
                <c:pt idx="0">
                  <c:v>0</c:v>
                </c:pt>
              </c:numCache>
            </c:numRef>
          </c:val>
        </c:ser>
        <c:dLbls>
          <c:showLegendKey val="0"/>
          <c:showVal val="0"/>
          <c:showCatName val="0"/>
          <c:showSerName val="0"/>
          <c:showPercent val="0"/>
          <c:showBubbleSize val="0"/>
        </c:dLbls>
        <c:gapWidth val="150"/>
        <c:overlap val="100"/>
        <c:axId val="590180352"/>
        <c:axId val="590048064"/>
      </c:barChart>
      <c:catAx>
        <c:axId val="590180352"/>
        <c:scaling>
          <c:orientation val="minMax"/>
        </c:scaling>
        <c:delete val="0"/>
        <c:axPos val="b"/>
        <c:majorTickMark val="out"/>
        <c:minorTickMark val="none"/>
        <c:tickLblPos val="nextTo"/>
        <c:crossAx val="590048064"/>
        <c:crosses val="autoZero"/>
        <c:auto val="1"/>
        <c:lblAlgn val="ctr"/>
        <c:lblOffset val="100"/>
        <c:noMultiLvlLbl val="0"/>
      </c:catAx>
      <c:valAx>
        <c:axId val="590048064"/>
        <c:scaling>
          <c:orientation val="minMax"/>
        </c:scaling>
        <c:delete val="0"/>
        <c:axPos val="l"/>
        <c:majorGridlines/>
        <c:numFmt formatCode="0%" sourceLinked="1"/>
        <c:majorTickMark val="out"/>
        <c:minorTickMark val="none"/>
        <c:tickLblPos val="nextTo"/>
        <c:crossAx val="590180352"/>
        <c:crosses val="autoZero"/>
        <c:crossBetween val="between"/>
      </c:valAx>
    </c:plotArea>
    <c:legend>
      <c:legendPos val="r"/>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Reports'!$A$9</c:f>
              <c:strCache>
                <c:ptCount val="1"/>
                <c:pt idx="0">
                  <c:v>Data Model</c:v>
                </c:pt>
              </c:strCache>
            </c:strRef>
          </c:tx>
          <c:invertIfNegative val="0"/>
          <c:val>
            <c:numRef>
              <c:f>'Project Specific Reports'!$B$9</c:f>
              <c:numCache>
                <c:formatCode>General</c:formatCode>
                <c:ptCount val="1"/>
                <c:pt idx="0">
                  <c:v>0</c:v>
                </c:pt>
              </c:numCache>
            </c:numRef>
          </c:val>
        </c:ser>
        <c:ser>
          <c:idx val="1"/>
          <c:order val="1"/>
          <c:tx>
            <c:strRef>
              <c:f>'Project Specific Reports'!$A$10</c:f>
              <c:strCache>
                <c:ptCount val="1"/>
                <c:pt idx="0">
                  <c:v>Integration Model</c:v>
                </c:pt>
              </c:strCache>
            </c:strRef>
          </c:tx>
          <c:invertIfNegative val="0"/>
          <c:val>
            <c:numRef>
              <c:f>'Project Specific Reports'!$B$10</c:f>
              <c:numCache>
                <c:formatCode>General</c:formatCode>
                <c:ptCount val="1"/>
                <c:pt idx="0">
                  <c:v>0</c:v>
                </c:pt>
              </c:numCache>
            </c:numRef>
          </c:val>
        </c:ser>
        <c:ser>
          <c:idx val="2"/>
          <c:order val="2"/>
          <c:tx>
            <c:strRef>
              <c:f>'Project Specific Reports'!$A$11</c:f>
              <c:strCache>
                <c:ptCount val="1"/>
                <c:pt idx="0">
                  <c:v>System Frameworks</c:v>
                </c:pt>
              </c:strCache>
            </c:strRef>
          </c:tx>
          <c:invertIfNegative val="0"/>
          <c:val>
            <c:numRef>
              <c:f>'Project Specific Reports'!$B$11</c:f>
              <c:numCache>
                <c:formatCode>General</c:formatCode>
                <c:ptCount val="1"/>
                <c:pt idx="0">
                  <c:v>0</c:v>
                </c:pt>
              </c:numCache>
            </c:numRef>
          </c:val>
        </c:ser>
        <c:ser>
          <c:idx val="3"/>
          <c:order val="3"/>
          <c:tx>
            <c:strRef>
              <c:f>'Project Specific Reports'!$A$12</c:f>
              <c:strCache>
                <c:ptCount val="1"/>
                <c:pt idx="0">
                  <c:v>Data Conversions</c:v>
                </c:pt>
              </c:strCache>
            </c:strRef>
          </c:tx>
          <c:invertIfNegative val="0"/>
          <c:val>
            <c:numRef>
              <c:f>'Project Specific Reports'!$B$12</c:f>
              <c:numCache>
                <c:formatCode>General</c:formatCode>
                <c:ptCount val="1"/>
                <c:pt idx="0">
                  <c:v>0</c:v>
                </c:pt>
              </c:numCache>
            </c:numRef>
          </c:val>
        </c:ser>
        <c:ser>
          <c:idx val="4"/>
          <c:order val="4"/>
          <c:tx>
            <c:strRef>
              <c:f>'Project Specific Reports'!$A$13</c:f>
              <c:strCache>
                <c:ptCount val="1"/>
                <c:pt idx="0">
                  <c:v>Security</c:v>
                </c:pt>
              </c:strCache>
            </c:strRef>
          </c:tx>
          <c:invertIfNegative val="0"/>
          <c:val>
            <c:numRef>
              <c:f>'Project Specific Reports'!$B$13</c:f>
              <c:numCache>
                <c:formatCode>General</c:formatCode>
                <c:ptCount val="1"/>
                <c:pt idx="0">
                  <c:v>0</c:v>
                </c:pt>
              </c:numCache>
            </c:numRef>
          </c:val>
        </c:ser>
        <c:ser>
          <c:idx val="5"/>
          <c:order val="5"/>
          <c:tx>
            <c:strRef>
              <c:f>'Project Specific Reports'!$A$14</c:f>
              <c:strCache>
                <c:ptCount val="1"/>
                <c:pt idx="0">
                  <c:v>Cash Payment Tracking</c:v>
                </c:pt>
              </c:strCache>
            </c:strRef>
          </c:tx>
          <c:invertIfNegative val="0"/>
          <c:val>
            <c:numRef>
              <c:f>'Project Specific Reports'!$B$14</c:f>
              <c:numCache>
                <c:formatCode>General</c:formatCode>
                <c:ptCount val="1"/>
                <c:pt idx="0">
                  <c:v>0</c:v>
                </c:pt>
              </c:numCache>
            </c:numRef>
          </c:val>
        </c:ser>
        <c:ser>
          <c:idx val="6"/>
          <c:order val="6"/>
          <c:tx>
            <c:strRef>
              <c:f>'Project Specific Reports'!$A$15</c:f>
              <c:strCache>
                <c:ptCount val="1"/>
                <c:pt idx="0">
                  <c:v>Views</c:v>
                </c:pt>
              </c:strCache>
            </c:strRef>
          </c:tx>
          <c:invertIfNegative val="0"/>
          <c:val>
            <c:numRef>
              <c:f>'Project Specific Reports'!$B$15</c:f>
              <c:numCache>
                <c:formatCode>General</c:formatCode>
                <c:ptCount val="1"/>
                <c:pt idx="0">
                  <c:v>0</c:v>
                </c:pt>
              </c:numCache>
            </c:numRef>
          </c:val>
        </c:ser>
        <c:ser>
          <c:idx val="7"/>
          <c:order val="7"/>
          <c:tx>
            <c:strRef>
              <c:f>'Project Specific Reports'!$A$16</c:f>
              <c:strCache>
                <c:ptCount val="1"/>
                <c:pt idx="0">
                  <c:v>Lookups</c:v>
                </c:pt>
              </c:strCache>
            </c:strRef>
          </c:tx>
          <c:invertIfNegative val="0"/>
          <c:val>
            <c:numRef>
              <c:f>'Project Specific Reports'!$B$16</c:f>
              <c:numCache>
                <c:formatCode>General</c:formatCode>
                <c:ptCount val="1"/>
                <c:pt idx="0">
                  <c:v>0</c:v>
                </c:pt>
              </c:numCache>
            </c:numRef>
          </c:val>
        </c:ser>
        <c:ser>
          <c:idx val="8"/>
          <c:order val="8"/>
          <c:tx>
            <c:strRef>
              <c:f>'Project Specific Reports'!$A$17</c:f>
              <c:strCache>
                <c:ptCount val="1"/>
                <c:pt idx="0">
                  <c:v>Detail screens</c:v>
                </c:pt>
              </c:strCache>
            </c:strRef>
          </c:tx>
          <c:invertIfNegative val="0"/>
          <c:val>
            <c:numRef>
              <c:f>'Project Specific Reports'!$B$17</c:f>
              <c:numCache>
                <c:formatCode>General</c:formatCode>
                <c:ptCount val="1"/>
                <c:pt idx="0">
                  <c:v>0</c:v>
                </c:pt>
              </c:numCache>
            </c:numRef>
          </c:val>
        </c:ser>
        <c:ser>
          <c:idx val="9"/>
          <c:order val="9"/>
          <c:tx>
            <c:strRef>
              <c:f>'Project Specific Reports'!$A$18</c:f>
              <c:strCache>
                <c:ptCount val="1"/>
                <c:pt idx="0">
                  <c:v>Notifications</c:v>
                </c:pt>
              </c:strCache>
            </c:strRef>
          </c:tx>
          <c:invertIfNegative val="0"/>
          <c:val>
            <c:numRef>
              <c:f>'Project Specific Reports'!$B$18</c:f>
              <c:numCache>
                <c:formatCode>General</c:formatCode>
                <c:ptCount val="1"/>
                <c:pt idx="0">
                  <c:v>0</c:v>
                </c:pt>
              </c:numCache>
            </c:numRef>
          </c:val>
        </c:ser>
        <c:ser>
          <c:idx val="10"/>
          <c:order val="10"/>
          <c:tx>
            <c:strRef>
              <c:f>'Project Specific Reports'!$A$19</c:f>
              <c:strCache>
                <c:ptCount val="1"/>
                <c:pt idx="0">
                  <c:v>Reports</c:v>
                </c:pt>
              </c:strCache>
            </c:strRef>
          </c:tx>
          <c:invertIfNegative val="0"/>
          <c:val>
            <c:numRef>
              <c:f>'Project Specific Reports'!$B$19</c:f>
              <c:numCache>
                <c:formatCode>General</c:formatCode>
                <c:ptCount val="1"/>
                <c:pt idx="0">
                  <c:v>0</c:v>
                </c:pt>
              </c:numCache>
            </c:numRef>
          </c:val>
        </c:ser>
        <c:ser>
          <c:idx val="11"/>
          <c:order val="11"/>
          <c:tx>
            <c:strRef>
              <c:f>'Project Specific Reports'!$A$20</c:f>
              <c:strCache>
                <c:ptCount val="1"/>
                <c:pt idx="0">
                  <c:v>Installation Package</c:v>
                </c:pt>
              </c:strCache>
            </c:strRef>
          </c:tx>
          <c:invertIfNegative val="0"/>
          <c:val>
            <c:numRef>
              <c:f>'Project Specific Reports'!$B$20</c:f>
              <c:numCache>
                <c:formatCode>General</c:formatCode>
                <c:ptCount val="1"/>
                <c:pt idx="0">
                  <c:v>0</c:v>
                </c:pt>
              </c:numCache>
            </c:numRef>
          </c:val>
        </c:ser>
        <c:ser>
          <c:idx val="12"/>
          <c:order val="12"/>
          <c:tx>
            <c:strRef>
              <c:f>'Project Specific Reports'!$A$21</c:f>
              <c:strCache>
                <c:ptCount val="1"/>
                <c:pt idx="0">
                  <c:v>Deployment</c:v>
                </c:pt>
              </c:strCache>
            </c:strRef>
          </c:tx>
          <c:invertIfNegative val="0"/>
          <c:val>
            <c:numRef>
              <c:f>'Project Specific Reports'!$B$21</c:f>
              <c:numCache>
                <c:formatCode>General</c:formatCode>
                <c:ptCount val="1"/>
                <c:pt idx="0">
                  <c:v>0</c:v>
                </c:pt>
              </c:numCache>
            </c:numRef>
          </c:val>
        </c:ser>
        <c:ser>
          <c:idx val="13"/>
          <c:order val="13"/>
          <c:tx>
            <c:strRef>
              <c:f>'Project Specific Reports'!$A$22</c:f>
              <c:strCache>
                <c:ptCount val="1"/>
                <c:pt idx="0">
                  <c:v>Documentation</c:v>
                </c:pt>
              </c:strCache>
            </c:strRef>
          </c:tx>
          <c:invertIfNegative val="0"/>
          <c:val>
            <c:numRef>
              <c:f>'Project Specific Reports'!$B$22</c:f>
              <c:numCache>
                <c:formatCode>General</c:formatCode>
                <c:ptCount val="1"/>
                <c:pt idx="0">
                  <c:v>0</c:v>
                </c:pt>
              </c:numCache>
            </c:numRef>
          </c:val>
        </c:ser>
        <c:ser>
          <c:idx val="14"/>
          <c:order val="14"/>
          <c:tx>
            <c:strRef>
              <c:f>'Project Specific Reports'!$A$23</c:f>
              <c:strCache>
                <c:ptCount val="1"/>
                <c:pt idx="0">
                  <c:v>Testing</c:v>
                </c:pt>
              </c:strCache>
            </c:strRef>
          </c:tx>
          <c:invertIfNegative val="0"/>
          <c:val>
            <c:numRef>
              <c:f>'Project Specific Reports'!$B$23</c:f>
              <c:numCache>
                <c:formatCode>General</c:formatCode>
                <c:ptCount val="1"/>
                <c:pt idx="0">
                  <c:v>0</c:v>
                </c:pt>
              </c:numCache>
            </c:numRef>
          </c:val>
        </c:ser>
        <c:ser>
          <c:idx val="15"/>
          <c:order val="15"/>
          <c:tx>
            <c:strRef>
              <c:f>'Project Specific Reports'!$A$24</c:f>
              <c:strCache>
                <c:ptCount val="1"/>
                <c:pt idx="0">
                  <c:v>Project Mgt</c:v>
                </c:pt>
              </c:strCache>
            </c:strRef>
          </c:tx>
          <c:invertIfNegative val="0"/>
          <c:val>
            <c:numRef>
              <c:f>'Project Specific Reports'!$B$24</c:f>
              <c:numCache>
                <c:formatCode>General</c:formatCode>
                <c:ptCount val="1"/>
                <c:pt idx="0">
                  <c:v>0</c:v>
                </c:pt>
              </c:numCache>
            </c:numRef>
          </c:val>
        </c:ser>
        <c:dLbls>
          <c:showLegendKey val="0"/>
          <c:showVal val="0"/>
          <c:showCatName val="0"/>
          <c:showSerName val="0"/>
          <c:showPercent val="0"/>
          <c:showBubbleSize val="0"/>
        </c:dLbls>
        <c:gapWidth val="150"/>
        <c:overlap val="100"/>
        <c:axId val="590571008"/>
        <c:axId val="590050368"/>
      </c:barChart>
      <c:catAx>
        <c:axId val="590571008"/>
        <c:scaling>
          <c:orientation val="minMax"/>
        </c:scaling>
        <c:delete val="0"/>
        <c:axPos val="b"/>
        <c:majorTickMark val="out"/>
        <c:minorTickMark val="none"/>
        <c:tickLblPos val="nextTo"/>
        <c:crossAx val="590050368"/>
        <c:crosses val="autoZero"/>
        <c:auto val="1"/>
        <c:lblAlgn val="ctr"/>
        <c:lblOffset val="100"/>
        <c:noMultiLvlLbl val="0"/>
      </c:catAx>
      <c:valAx>
        <c:axId val="590050368"/>
        <c:scaling>
          <c:orientation val="minMax"/>
        </c:scaling>
        <c:delete val="0"/>
        <c:axPos val="l"/>
        <c:majorGridlines/>
        <c:numFmt formatCode="0%" sourceLinked="1"/>
        <c:majorTickMark val="out"/>
        <c:minorTickMark val="none"/>
        <c:tickLblPos val="nextTo"/>
        <c:crossAx val="590571008"/>
        <c:crosses val="autoZero"/>
        <c:crossBetween val="between"/>
      </c:valAx>
    </c:plotArea>
    <c:legend>
      <c:legendPos val="r"/>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Reports'!$A$28</c:f>
              <c:strCache>
                <c:ptCount val="1"/>
                <c:pt idx="0">
                  <c:v>Complete</c:v>
                </c:pt>
              </c:strCache>
            </c:strRef>
          </c:tx>
          <c:invertIfNegative val="0"/>
          <c:val>
            <c:numRef>
              <c:f>'Project Specific Reports'!$B$28</c:f>
              <c:numCache>
                <c:formatCode>General</c:formatCode>
                <c:ptCount val="1"/>
                <c:pt idx="0">
                  <c:v>0</c:v>
                </c:pt>
              </c:numCache>
            </c:numRef>
          </c:val>
        </c:ser>
        <c:ser>
          <c:idx val="1"/>
          <c:order val="1"/>
          <c:tx>
            <c:strRef>
              <c:f>'Project Specific Reports'!$A$29</c:f>
              <c:strCache>
                <c:ptCount val="1"/>
                <c:pt idx="0">
                  <c:v>In Progress</c:v>
                </c:pt>
              </c:strCache>
            </c:strRef>
          </c:tx>
          <c:invertIfNegative val="0"/>
          <c:val>
            <c:numRef>
              <c:f>'Project Specific Reports'!$B$29</c:f>
              <c:numCache>
                <c:formatCode>General</c:formatCode>
                <c:ptCount val="1"/>
                <c:pt idx="0">
                  <c:v>0</c:v>
                </c:pt>
              </c:numCache>
            </c:numRef>
          </c:val>
        </c:ser>
        <c:ser>
          <c:idx val="2"/>
          <c:order val="2"/>
          <c:tx>
            <c:strRef>
              <c:f>'Project Specific Reports'!$A$30</c:f>
              <c:strCache>
                <c:ptCount val="1"/>
                <c:pt idx="0">
                  <c:v>Pending</c:v>
                </c:pt>
              </c:strCache>
            </c:strRef>
          </c:tx>
          <c:invertIfNegative val="0"/>
          <c:val>
            <c:numRef>
              <c:f>'Project Specific Reports'!$B$30</c:f>
              <c:numCache>
                <c:formatCode>General</c:formatCode>
                <c:ptCount val="1"/>
                <c:pt idx="0">
                  <c:v>0</c:v>
                </c:pt>
              </c:numCache>
            </c:numRef>
          </c:val>
        </c:ser>
        <c:ser>
          <c:idx val="3"/>
          <c:order val="3"/>
          <c:tx>
            <c:strRef>
              <c:f>'Project Specific Reports'!$A$31</c:f>
              <c:strCache>
                <c:ptCount val="1"/>
                <c:pt idx="0">
                  <c:v>Postponed</c:v>
                </c:pt>
              </c:strCache>
            </c:strRef>
          </c:tx>
          <c:invertIfNegative val="0"/>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invertIfNegative val="0"/>
          <c:val>
            <c:numRef>
              <c:f>'Project Specific Reports'!$B$32</c:f>
              <c:numCache>
                <c:formatCode>General</c:formatCode>
                <c:ptCount val="1"/>
                <c:pt idx="0">
                  <c:v>0</c:v>
                </c:pt>
              </c:numCache>
            </c:numRef>
          </c:val>
        </c:ser>
        <c:dLbls>
          <c:showLegendKey val="0"/>
          <c:showVal val="0"/>
          <c:showCatName val="0"/>
          <c:showSerName val="0"/>
          <c:showPercent val="0"/>
          <c:showBubbleSize val="0"/>
        </c:dLbls>
        <c:gapWidth val="150"/>
        <c:overlap val="100"/>
        <c:axId val="590564864"/>
        <c:axId val="590052672"/>
      </c:barChart>
      <c:catAx>
        <c:axId val="590564864"/>
        <c:scaling>
          <c:orientation val="minMax"/>
        </c:scaling>
        <c:delete val="0"/>
        <c:axPos val="b"/>
        <c:majorTickMark val="out"/>
        <c:minorTickMark val="none"/>
        <c:tickLblPos val="nextTo"/>
        <c:crossAx val="590052672"/>
        <c:crosses val="autoZero"/>
        <c:auto val="1"/>
        <c:lblAlgn val="ctr"/>
        <c:lblOffset val="100"/>
        <c:noMultiLvlLbl val="0"/>
      </c:catAx>
      <c:valAx>
        <c:axId val="590052672"/>
        <c:scaling>
          <c:orientation val="minMax"/>
        </c:scaling>
        <c:delete val="0"/>
        <c:axPos val="l"/>
        <c:majorGridlines/>
        <c:numFmt formatCode="0%" sourceLinked="1"/>
        <c:majorTickMark val="out"/>
        <c:minorTickMark val="none"/>
        <c:tickLblPos val="nextTo"/>
        <c:crossAx val="590564864"/>
        <c:crosses val="autoZero"/>
        <c:crossBetween val="between"/>
      </c:valAx>
    </c:plotArea>
    <c:legend>
      <c:legendPos val="r"/>
      <c:overlay val="0"/>
    </c:legend>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1171575</xdr:colOff>
          <xdr:row>1</xdr:row>
          <xdr:rowOff>9525</xdr:rowOff>
        </xdr:from>
        <xdr:to>
          <xdr:col>4</xdr:col>
          <xdr:colOff>2409825</xdr:colOff>
          <xdr:row>2</xdr:row>
          <xdr:rowOff>114300</xdr:rowOff>
        </xdr:to>
        <xdr:sp macro="" textlink="">
          <xdr:nvSpPr>
            <xdr:cNvPr id="6274" name="BtnInsertNewLineAtEnd" hidden="1">
              <a:extLst>
                <a:ext uri="{63B3BB69-23CF-44E3-9099-C40C66FF867C}">
                  <a14:compatExt spid="_x0000_s6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9525</xdr:rowOff>
        </xdr:from>
        <xdr:to>
          <xdr:col>4</xdr:col>
          <xdr:colOff>1095375</xdr:colOff>
          <xdr:row>2</xdr:row>
          <xdr:rowOff>114300</xdr:rowOff>
        </xdr:to>
        <xdr:sp macro="" textlink="">
          <xdr:nvSpPr>
            <xdr:cNvPr id="6275" name="BtnInsertNewLine" hidden="1">
              <a:extLst>
                <a:ext uri="{63B3BB69-23CF-44E3-9099-C40C66FF867C}">
                  <a14:compatExt spid="_x0000_s62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28574</xdr:colOff>
      <xdr:row>1</xdr:row>
      <xdr:rowOff>123826</xdr:rowOff>
    </xdr:from>
    <xdr:to>
      <xdr:col>19</xdr:col>
      <xdr:colOff>552450</xdr:colOff>
      <xdr:row>17</xdr:row>
      <xdr:rowOff>9526</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hyperlink" Target="mailto:oleksandr.shylin1@nure.ua" TargetMode="External"/><Relationship Id="rId7" Type="http://schemas.openxmlformats.org/officeDocument/2006/relationships/hyperlink" Target="mailto:kamyanskiy.i@gmail.com" TargetMode="External"/><Relationship Id="rId2" Type="http://schemas.openxmlformats.org/officeDocument/2006/relationships/hyperlink" Target="mailto:oleh.havrysh@nure.ua" TargetMode="External"/><Relationship Id="rId1" Type="http://schemas.openxmlformats.org/officeDocument/2006/relationships/hyperlink" Target="mailto:anastasiia.fedorenko@nure.ua" TargetMode="External"/><Relationship Id="rId6" Type="http://schemas.openxmlformats.org/officeDocument/2006/relationships/hyperlink" Target="mailto:anna.nikonova@nure.ua" TargetMode="External"/><Relationship Id="rId5" Type="http://schemas.openxmlformats.org/officeDocument/2006/relationships/hyperlink" Target="mailto:olha.rassokha@nure.ua" TargetMode="External"/><Relationship Id="rId4" Type="http://schemas.openxmlformats.org/officeDocument/2006/relationships/hyperlink" Target="mailto:iryna.petrenko@nure.ua"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E44"/>
  <sheetViews>
    <sheetView tabSelected="1" workbookViewId="0">
      <pane xSplit="8" ySplit="3" topLeftCell="I4" activePane="bottomRight" state="frozen"/>
      <selection pane="topRight" activeCell="F1" sqref="F1"/>
      <selection pane="bottomLeft" activeCell="A3" sqref="A3"/>
      <selection pane="bottomRight" activeCell="E9" sqref="E9"/>
    </sheetView>
  </sheetViews>
  <sheetFormatPr defaultRowHeight="12.75" outlineLevelCol="1" x14ac:dyDescent="0.2"/>
  <cols>
    <col min="1" max="1" width="12.140625" style="6" customWidth="1"/>
    <col min="2" max="2" width="16.5703125" style="6" bestFit="1" customWidth="1"/>
    <col min="3" max="3" width="16.42578125" style="6" customWidth="1"/>
    <col min="4" max="4" width="6" style="6" customWidth="1"/>
    <col min="5" max="5" width="43.42578125" style="6" customWidth="1"/>
    <col min="6" max="6" width="9" style="6" bestFit="1" customWidth="1"/>
    <col min="7" max="7" width="7" style="6" customWidth="1"/>
    <col min="8" max="8" width="5.28515625" style="6" bestFit="1" customWidth="1"/>
    <col min="9" max="9" width="4.28515625" style="6" customWidth="1"/>
    <col min="10" max="11" width="3.28515625" style="147"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3.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x14ac:dyDescent="0.2">
      <c r="A1" s="1"/>
      <c r="B1" s="1"/>
      <c r="C1" s="1"/>
      <c r="D1" s="1"/>
      <c r="E1" s="2"/>
      <c r="F1" s="3" t="s">
        <v>23</v>
      </c>
      <c r="G1" s="4">
        <f>SprintStart</f>
        <v>42683</v>
      </c>
      <c r="H1" s="1"/>
      <c r="I1" s="1"/>
      <c r="J1" s="192">
        <f>SprintStart</f>
        <v>42683</v>
      </c>
      <c r="K1" s="192"/>
      <c r="L1" s="192"/>
      <c r="M1" s="192">
        <f>IF(AND(SkipWeekends, WEEKDAY(J1)=6),J1+3, J1+1)</f>
        <v>42684</v>
      </c>
      <c r="N1" s="192"/>
      <c r="O1" s="192"/>
      <c r="P1" s="192">
        <f>IF(AND(SkipWeekends, WEEKDAY(M1)=6),M1+3, M1+1)</f>
        <v>42685</v>
      </c>
      <c r="Q1" s="192"/>
      <c r="R1" s="192"/>
      <c r="S1" s="192">
        <f>IF(AND(SkipWeekends, WEEKDAY(P1)=6),P1+3, P1+1)</f>
        <v>42688</v>
      </c>
      <c r="T1" s="192"/>
      <c r="U1" s="192"/>
      <c r="V1" s="192">
        <f>IF(AND(SkipWeekends, WEEKDAY(S1)=6),S1+3, S1+1)</f>
        <v>42689</v>
      </c>
      <c r="W1" s="192"/>
      <c r="X1" s="192"/>
      <c r="Y1" s="192">
        <f>IF(AND(SkipWeekends, WEEKDAY(V1)=6),V1+3, V1+1)</f>
        <v>42690</v>
      </c>
      <c r="Z1" s="192"/>
      <c r="AA1" s="192"/>
      <c r="AB1" s="192">
        <f>IF(AND(SkipWeekends, WEEKDAY(Y1)=6),Y1+3, Y1+1)</f>
        <v>42691</v>
      </c>
      <c r="AC1" s="192"/>
      <c r="AD1" s="192"/>
      <c r="AE1" s="192">
        <f>IF(AND(SkipWeekends, WEEKDAY(AB1)=6),AB1+3, AB1+1)</f>
        <v>42692</v>
      </c>
      <c r="AF1" s="192"/>
      <c r="AG1" s="192"/>
      <c r="AH1" s="192">
        <f>IF(AND(SkipWeekends, WEEKDAY(AE1)=6),AE1+3, AE1+1)</f>
        <v>42695</v>
      </c>
      <c r="AI1" s="192"/>
      <c r="AJ1" s="192"/>
      <c r="AK1" s="192">
        <f>IF(AND(SkipWeekends, WEEKDAY(AH1)=6),AH1+3, AH1+1)</f>
        <v>42696</v>
      </c>
      <c r="AL1" s="192"/>
      <c r="AM1" s="192"/>
      <c r="AN1" s="192">
        <f>IF(AND(SkipWeekends, WEEKDAY(AK1)=6),AK1+3, AK1+1)</f>
        <v>42697</v>
      </c>
      <c r="AO1" s="192"/>
      <c r="AP1" s="192"/>
      <c r="AQ1" s="192">
        <f>IF(AND(SkipWeekends, WEEKDAY(AN1)=6),AN1+3, AN1+1)</f>
        <v>42698</v>
      </c>
      <c r="AR1" s="192"/>
      <c r="AS1" s="192"/>
      <c r="AT1" s="192">
        <f>IF(AND(SkipWeekends, WEEKDAY(AQ1)=6),AQ1+3, AQ1+1)</f>
        <v>42699</v>
      </c>
      <c r="AU1" s="192"/>
      <c r="AV1" s="192"/>
      <c r="AW1" s="192">
        <f>IF(AND(SkipWeekends, WEEKDAY(AT1)=6),AT1+3, AT1+1)</f>
        <v>42702</v>
      </c>
      <c r="AX1" s="192"/>
      <c r="AY1" s="192"/>
      <c r="AZ1" s="192" t="e">
        <f>IF(AND(SkipWeekends, WEEKDAY(#REF!)=6),#REF!+3,#REF!+ 1)</f>
        <v>#REF!</v>
      </c>
      <c r="BA1" s="192"/>
      <c r="BB1" s="192"/>
      <c r="BC1" s="192" t="e">
        <f>IF(AND(SkipWeekends, WEEKDAY(AZ1)=6),AZ1+3, AZ1+1)</f>
        <v>#REF!</v>
      </c>
      <c r="BD1" s="192"/>
      <c r="BE1" s="192"/>
      <c r="BF1" s="192" t="e">
        <f>IF(AND(SkipWeekends, WEEKDAY(BC1)=6),BC1+3, BC1+1)</f>
        <v>#REF!</v>
      </c>
      <c r="BG1" s="192"/>
      <c r="BH1" s="192"/>
      <c r="BI1" s="192" t="e">
        <f>IF(AND(SkipWeekends, WEEKDAY(BF1)=6),BF1+3, BF1+1)</f>
        <v>#REF!</v>
      </c>
      <c r="BJ1" s="192"/>
      <c r="BK1" s="192"/>
      <c r="BL1" s="192" t="e">
        <f>IF(AND(SkipWeekends, WEEKDAY(BI1)=6),BI1+3, BI1+1)</f>
        <v>#REF!</v>
      </c>
      <c r="BM1" s="192"/>
      <c r="BN1" s="192"/>
      <c r="BO1" s="192" t="e">
        <f>IF(AND(SkipWeekends, WEEKDAY(BL1)=6),BL1+3, BL1+1)</f>
        <v>#REF!</v>
      </c>
      <c r="BP1" s="192"/>
      <c r="BQ1" s="192"/>
      <c r="BR1" s="192" t="e">
        <f>IF(AND(SkipWeekends, WEEKDAY(BO1)=6),BO1+3, BO1+1)</f>
        <v>#REF!</v>
      </c>
      <c r="BS1" s="192"/>
      <c r="BT1" s="192"/>
      <c r="BU1" s="192" t="e">
        <f>IF(AND(SkipWeekends, WEEKDAY(BR1)=6),BR1+3, BR1+1)</f>
        <v>#REF!</v>
      </c>
      <c r="BV1" s="192"/>
      <c r="BW1" s="192"/>
      <c r="BX1" s="192" t="e">
        <f>IF(AND(SkipWeekends, WEEKDAY(BU1)=6),BU1+3, BU1+1)</f>
        <v>#REF!</v>
      </c>
      <c r="BY1" s="192"/>
      <c r="BZ1" s="192"/>
      <c r="CA1" s="192" t="e">
        <f>IF(AND(SkipWeekends, WEEKDAY(BX1)=6),BX1+3, BX1+1)</f>
        <v>#REF!</v>
      </c>
      <c r="CB1" s="192"/>
      <c r="CC1" s="192"/>
      <c r="CD1" s="5"/>
      <c r="CE1" s="1"/>
    </row>
    <row r="2" spans="1:83" x14ac:dyDescent="0.2">
      <c r="A2" s="1"/>
      <c r="B2" s="1"/>
      <c r="C2" s="1"/>
      <c r="D2" s="1"/>
      <c r="E2" s="7"/>
      <c r="F2" s="8"/>
      <c r="G2" s="9"/>
      <c r="H2" s="1"/>
      <c r="I2" s="1"/>
      <c r="J2" s="142"/>
      <c r="K2" s="142" t="s">
        <v>57</v>
      </c>
      <c r="L2" s="10"/>
      <c r="M2" s="10"/>
      <c r="N2" s="10" t="s">
        <v>58</v>
      </c>
      <c r="O2" s="10"/>
      <c r="P2" s="10"/>
      <c r="Q2" s="10" t="s">
        <v>59</v>
      </c>
      <c r="R2" s="10"/>
      <c r="S2" s="10"/>
      <c r="T2" s="10" t="s">
        <v>60</v>
      </c>
      <c r="U2" s="10"/>
      <c r="V2" s="10"/>
      <c r="W2" s="10" t="s">
        <v>61</v>
      </c>
      <c r="X2" s="10"/>
      <c r="Y2" s="10"/>
      <c r="Z2" s="10" t="s">
        <v>62</v>
      </c>
      <c r="AA2" s="10"/>
      <c r="AB2" s="10"/>
      <c r="AC2" s="10" t="s">
        <v>63</v>
      </c>
      <c r="AD2" s="10"/>
      <c r="AE2" s="10"/>
      <c r="AF2" s="10" t="s">
        <v>64</v>
      </c>
      <c r="AG2" s="10"/>
      <c r="AH2" s="10"/>
      <c r="AI2" s="10" t="s">
        <v>65</v>
      </c>
      <c r="AJ2" s="10"/>
      <c r="AK2" s="10"/>
      <c r="AL2" s="10" t="s">
        <v>66</v>
      </c>
      <c r="AM2" s="10"/>
      <c r="AN2" s="10"/>
      <c r="AO2" s="10" t="s">
        <v>67</v>
      </c>
      <c r="AP2" s="10"/>
      <c r="AQ2" s="10"/>
      <c r="AR2" s="10" t="s">
        <v>68</v>
      </c>
      <c r="AS2" s="10"/>
      <c r="AT2" s="10"/>
      <c r="AU2" s="10" t="s">
        <v>69</v>
      </c>
      <c r="AV2" s="10"/>
      <c r="AW2" s="10"/>
      <c r="AX2" s="10" t="s">
        <v>70</v>
      </c>
      <c r="AY2" s="10"/>
      <c r="AZ2" s="10"/>
      <c r="BA2" s="10" t="s">
        <v>71</v>
      </c>
      <c r="BB2" s="10"/>
      <c r="BC2" s="10"/>
      <c r="BD2" s="10" t="s">
        <v>72</v>
      </c>
      <c r="BE2" s="10"/>
      <c r="BF2" s="10"/>
      <c r="BG2" s="10" t="s">
        <v>73</v>
      </c>
      <c r="BH2" s="10"/>
      <c r="BI2" s="10"/>
      <c r="BJ2" s="10" t="s">
        <v>74</v>
      </c>
      <c r="BK2" s="10"/>
      <c r="BL2" s="10"/>
      <c r="BM2" s="10" t="s">
        <v>75</v>
      </c>
      <c r="BN2" s="10"/>
      <c r="BO2" s="10"/>
      <c r="BP2" s="10" t="s">
        <v>76</v>
      </c>
      <c r="BQ2" s="10"/>
      <c r="BR2" s="10"/>
      <c r="BS2" s="10" t="s">
        <v>77</v>
      </c>
      <c r="BT2" s="10"/>
      <c r="BU2" s="10"/>
      <c r="BV2" s="10" t="s">
        <v>78</v>
      </c>
      <c r="BW2" s="10"/>
      <c r="BX2" s="10"/>
      <c r="BY2" s="10" t="s">
        <v>79</v>
      </c>
      <c r="BZ2" s="10"/>
      <c r="CA2" s="10"/>
      <c r="CB2" s="10" t="s">
        <v>80</v>
      </c>
      <c r="CC2" s="10"/>
      <c r="CD2" s="5"/>
      <c r="CE2" s="1"/>
    </row>
    <row r="3" spans="1:83" ht="38.25" customHeight="1" thickBot="1" x14ac:dyDescent="0.25">
      <c r="A3" s="11" t="s">
        <v>101</v>
      </c>
      <c r="B3" s="11" t="s">
        <v>102</v>
      </c>
      <c r="C3" s="11" t="s">
        <v>81</v>
      </c>
      <c r="D3" s="11" t="s">
        <v>82</v>
      </c>
      <c r="E3" s="1" t="s">
        <v>83</v>
      </c>
      <c r="F3" s="1" t="s">
        <v>92</v>
      </c>
      <c r="G3" s="1" t="s">
        <v>0</v>
      </c>
      <c r="H3" s="12" t="s">
        <v>1</v>
      </c>
      <c r="I3" s="12" t="s">
        <v>84</v>
      </c>
      <c r="J3" s="143" t="s">
        <v>12</v>
      </c>
      <c r="K3" s="14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ht="30.75" thickBot="1" x14ac:dyDescent="0.25">
      <c r="A4" s="177" t="s">
        <v>106</v>
      </c>
      <c r="B4" s="177" t="s">
        <v>115</v>
      </c>
      <c r="C4" s="182" t="s">
        <v>170</v>
      </c>
      <c r="D4" s="178">
        <v>1</v>
      </c>
      <c r="E4" s="179" t="s">
        <v>153</v>
      </c>
      <c r="F4" s="180" t="s">
        <v>145</v>
      </c>
      <c r="G4" s="19" t="e">
        <f t="shared" ref="G4:G28" ca="1" si="0">(INDEX(Burndown,ROW(G4)-ROW(G$3),MIN(TODAY()-SprintStart,29)*3+3))</f>
        <v>#REF!</v>
      </c>
      <c r="H4" s="20">
        <v>1</v>
      </c>
      <c r="I4" s="21">
        <v>4</v>
      </c>
      <c r="J4" s="22">
        <v>2</v>
      </c>
      <c r="K4" s="22">
        <f t="shared" ref="K4:K20" si="1">MAX(I4-J4, 0)</f>
        <v>2</v>
      </c>
      <c r="L4" s="23" t="str">
        <f>IF(SUMPRODUCT($J$31:K$31,$J4:K4)&lt;0.5, "Pending", IF(K4&lt;0.5, "Complete", "In Progress"))</f>
        <v>In Progress</v>
      </c>
      <c r="M4" s="22">
        <v>2</v>
      </c>
      <c r="N4" s="22">
        <f t="shared" ref="N4" si="2">MAX(K4-M4,0)</f>
        <v>0</v>
      </c>
      <c r="O4" s="23" t="str">
        <f>IF(SUMPRODUCT($J$31:N$31,$J4:N4)&lt;0.5, "Pending", IF(N4&lt;0.5, "Complete", "In Progress"))</f>
        <v>Complete</v>
      </c>
      <c r="P4" s="22">
        <v>0</v>
      </c>
      <c r="Q4" s="22">
        <f t="shared" ref="Q4" si="3">MAX(N4-P4,0)</f>
        <v>0</v>
      </c>
      <c r="R4" s="23" t="str">
        <f>IF(SUMPRODUCT($J$31:Q$31,$J4:Q4)&lt;0.5, "Pending", IF(Q4&lt;0.5, "Complete", "In Progress"))</f>
        <v>Complete</v>
      </c>
      <c r="S4" s="22">
        <v>0</v>
      </c>
      <c r="T4" s="22">
        <f t="shared" ref="T4" si="4">MAX(Q4-S4,0)</f>
        <v>0</v>
      </c>
      <c r="U4" s="23" t="str">
        <f>IF(SUMPRODUCT($J$31:T$31,$J4:T4)&lt;0.5, "Pending", IF(T4&lt;0.5, "Complete", "In Progress"))</f>
        <v>Complete</v>
      </c>
      <c r="V4" s="22">
        <v>0</v>
      </c>
      <c r="W4" s="22">
        <f t="shared" ref="W4" si="5">MAX(T4-V4,0)</f>
        <v>0</v>
      </c>
      <c r="X4" s="23" t="str">
        <f>IF(SUMPRODUCT($J$31:W$31,$J4:W4)&lt;0.5, "Pending", IF(W4&lt;0.5, "Complete", "In Progress"))</f>
        <v>Complete</v>
      </c>
      <c r="Y4" s="22">
        <v>0</v>
      </c>
      <c r="Z4" s="22">
        <f t="shared" ref="Z4" si="6">MAX(W4-Y4,0)</f>
        <v>0</v>
      </c>
      <c r="AA4" s="23" t="str">
        <f>IF(SUMPRODUCT($J$31:Z$31,$J4:Z4)&lt;0.5, "Pending", IF(Z4&lt;0.5, "Complete", "In Progress"))</f>
        <v>Complete</v>
      </c>
      <c r="AB4" s="22">
        <v>0</v>
      </c>
      <c r="AC4" s="22">
        <f t="shared" ref="AC4" si="7">MAX(Z4-AB4,0)</f>
        <v>0</v>
      </c>
      <c r="AD4" s="23" t="str">
        <f>IF(SUMPRODUCT($J$31:AC$31,$J4:AC4)&lt;0.5, "Pending", IF(AC4&lt;0.5, "Complete", "In Progress"))</f>
        <v>Complete</v>
      </c>
      <c r="AE4" s="22">
        <v>0</v>
      </c>
      <c r="AF4" s="22">
        <f t="shared" ref="AF4" si="8">MAX(AC4-AE4,0)</f>
        <v>0</v>
      </c>
      <c r="AG4" s="23" t="str">
        <f>IF(SUMPRODUCT($J$31:AF$31,$J4:AF4)&lt;0.5, "Pending", IF(AF4&lt;0.5, "Complete", "In Progress"))</f>
        <v>Complete</v>
      </c>
      <c r="AH4" s="22">
        <v>0</v>
      </c>
      <c r="AI4" s="22">
        <f t="shared" ref="AI4" si="9">MAX(AF4-AH4,0)</f>
        <v>0</v>
      </c>
      <c r="AJ4" s="23" t="str">
        <f>IF(SUMPRODUCT($J$31:AI$31,$J4:AI4)&lt;0.5, "Pending", IF(AI4&lt;0.5, "Complete", "In Progress"))</f>
        <v>Complete</v>
      </c>
      <c r="AK4" s="22">
        <v>0</v>
      </c>
      <c r="AL4" s="22">
        <f t="shared" ref="AL4" si="10">MAX(AI4-AK4,0)</f>
        <v>0</v>
      </c>
      <c r="AM4" s="23" t="str">
        <f>IF(SUMPRODUCT($J$31:AL$31,$J4:AL4)&lt;0.5, "Pending", IF(AL4&lt;0.5, "Complete", "In Progress"))</f>
        <v>Complete</v>
      </c>
      <c r="AN4" s="22">
        <v>0</v>
      </c>
      <c r="AO4" s="22">
        <f t="shared" ref="AO4" si="11">MAX(AL4-AN4,0)</f>
        <v>0</v>
      </c>
      <c r="AP4" s="23" t="str">
        <f>IF(SUMPRODUCT($J$31:AO$31,$J4:AO4)&lt;0.5, "Pending", IF(AO4&lt;0.5, "Complete", "In Progress"))</f>
        <v>Complete</v>
      </c>
      <c r="AQ4" s="22">
        <v>0</v>
      </c>
      <c r="AR4" s="22">
        <f t="shared" ref="AR4" si="12">MAX(AO4-AQ4,0)</f>
        <v>0</v>
      </c>
      <c r="AS4" s="23" t="str">
        <f>IF(SUMPRODUCT($J$31:AR$31,$J4:AR4)&lt;0.5, "Pending", IF(AR4&lt;0.5, "Complete", "In Progress"))</f>
        <v>Complete</v>
      </c>
      <c r="AT4" s="22">
        <v>0</v>
      </c>
      <c r="AU4" s="22">
        <f t="shared" ref="AU4" si="13">MAX(AR4-AT4,0)</f>
        <v>0</v>
      </c>
      <c r="AV4" s="23" t="str">
        <f>IF(SUMPRODUCT($J$31:AU$31,$J4:AU4)&lt;0.5, "Pending", IF(AU4&lt;0.5, "Complete", "In Progress"))</f>
        <v>Complete</v>
      </c>
      <c r="AW4" s="22">
        <v>0</v>
      </c>
      <c r="AX4" s="22">
        <f t="shared" ref="AX4" si="14">MAX(AU4-AW4,0)</f>
        <v>0</v>
      </c>
      <c r="AY4" s="23" t="str">
        <f>IF(SUMPRODUCT($J$31:AX$31,$J4:AX4)&lt;0.5, "Pending", IF(AX4&lt;0.5, "Complete", "In Progress"))</f>
        <v>Complete</v>
      </c>
      <c r="AZ4" s="22">
        <v>0</v>
      </c>
      <c r="BA4" s="22" t="e">
        <f>MAX(#REF!-AZ4,0)</f>
        <v>#REF!</v>
      </c>
      <c r="BB4" s="23" t="e">
        <f>IF(SUMPRODUCT($J$31:BA$31,$J4:BA4)&lt;0.5, "Pending", IF(BA4&lt;0.5, "Complete", "In Progress"))</f>
        <v>#REF!</v>
      </c>
      <c r="BC4" s="22">
        <v>0</v>
      </c>
      <c r="BD4" s="22" t="e">
        <f t="shared" ref="BD4" si="15">MAX(BA4-BC4,0)</f>
        <v>#REF!</v>
      </c>
      <c r="BE4" s="23" t="e">
        <f>IF(SUMPRODUCT($J$31:BD$31,$J4:BD4)&lt;0.5, "Pending", IF(BD4&lt;0.5, "Complete", "In Progress"))</f>
        <v>#REF!</v>
      </c>
      <c r="BF4" s="22">
        <v>0</v>
      </c>
      <c r="BG4" s="22" t="e">
        <f t="shared" ref="BG4" si="16">MAX(BD4-BF4,0)</f>
        <v>#REF!</v>
      </c>
      <c r="BH4" s="23" t="e">
        <f>IF(SUMPRODUCT($J$31:BG$31,$J4:BG4)&lt;0.5, "Pending", IF(BG4&lt;0.5, "Complete", "In Progress"))</f>
        <v>#REF!</v>
      </c>
      <c r="BI4" s="22">
        <v>0</v>
      </c>
      <c r="BJ4" s="22" t="e">
        <f t="shared" ref="BJ4" si="17">MAX(BG4-BI4,0)</f>
        <v>#REF!</v>
      </c>
      <c r="BK4" s="23" t="e">
        <f>IF(SUMPRODUCT($J$31:BJ$31,$J4:BJ4)&lt;0.5, "Pending", IF(BJ4&lt;0.5, "Complete", "In Progress"))</f>
        <v>#REF!</v>
      </c>
      <c r="BL4" s="22">
        <v>0</v>
      </c>
      <c r="BM4" s="22" t="e">
        <f t="shared" ref="BM4" si="18">MAX(BJ4-BL4,0)</f>
        <v>#REF!</v>
      </c>
      <c r="BN4" s="23" t="e">
        <f>IF(SUMPRODUCT($J$31:BM$31,$J4:BM4)&lt;0.5, "Pending", IF(BM4&lt;0.5, "Complete", "In Progress"))</f>
        <v>#REF!</v>
      </c>
      <c r="BO4" s="22">
        <v>0</v>
      </c>
      <c r="BP4" s="22" t="e">
        <f t="shared" ref="BP4" si="19">MAX(BM4-BO4,0)</f>
        <v>#REF!</v>
      </c>
      <c r="BQ4" s="23" t="e">
        <f>IF(SUMPRODUCT($J$31:BP$31,$J4:BP4)&lt;0.5, "Pending", IF(BP4&lt;0.5, "Complete", "In Progress"))</f>
        <v>#REF!</v>
      </c>
      <c r="BR4" s="22">
        <v>0</v>
      </c>
      <c r="BS4" s="22" t="e">
        <f t="shared" ref="BS4" si="20">MAX(BP4-BR4,0)</f>
        <v>#REF!</v>
      </c>
      <c r="BT4" s="23" t="e">
        <f>IF(SUMPRODUCT($J$31:BS$31,$J4:BS4)&lt;0.5, "Pending", IF(BS4&lt;0.5, "Complete", "In Progress"))</f>
        <v>#REF!</v>
      </c>
      <c r="BU4" s="22">
        <v>0</v>
      </c>
      <c r="BV4" s="22" t="e">
        <f t="shared" ref="BV4" si="21">MAX(BS4-BU4,0)</f>
        <v>#REF!</v>
      </c>
      <c r="BW4" s="23" t="e">
        <f>IF(SUMPRODUCT($J$31:BV$31,$J4:BV4)&lt;0.5, "Pending", IF(BV4&lt;0.5, "Complete", "In Progress"))</f>
        <v>#REF!</v>
      </c>
      <c r="BX4" s="22">
        <v>0</v>
      </c>
      <c r="BY4" s="22" t="e">
        <f t="shared" ref="BY4" si="22">MAX(BV4-BX4,0)</f>
        <v>#REF!</v>
      </c>
      <c r="BZ4" s="23" t="e">
        <f>IF(SUMPRODUCT($J$31:BY$31,$J4:BY4)&lt;0.5, "Pending", IF(BY4&lt;0.5, "Complete", "In Progress"))</f>
        <v>#REF!</v>
      </c>
      <c r="CA4" s="22">
        <v>0</v>
      </c>
      <c r="CB4" s="22" t="e">
        <f t="shared" ref="CB4" si="23">MAX(BY4-CA4,0)</f>
        <v>#REF!</v>
      </c>
      <c r="CC4" s="23" t="e">
        <f>IF(SUMPRODUCT($J$31:CB$31,$J4:CB4)&lt;0.5, "Pending", IF(CB4&lt;0.5, "Complete", "In Progress"))</f>
        <v>#REF!</v>
      </c>
      <c r="CD4" s="24"/>
      <c r="CE4" s="25">
        <f>SUMPRODUCT($H$31:AY$31,$H4:AY4)</f>
        <v>4</v>
      </c>
    </row>
    <row r="5" spans="1:83" ht="15.75" thickBot="1" x14ac:dyDescent="0.25">
      <c r="A5" s="177" t="s">
        <v>106</v>
      </c>
      <c r="B5" s="177" t="s">
        <v>112</v>
      </c>
      <c r="C5" s="183" t="s">
        <v>171</v>
      </c>
      <c r="D5" s="178">
        <v>2</v>
      </c>
      <c r="E5" s="179" t="s">
        <v>154</v>
      </c>
      <c r="F5" s="180" t="s">
        <v>135</v>
      </c>
      <c r="G5" s="19" t="e">
        <f t="shared" ca="1" si="0"/>
        <v>#REF!</v>
      </c>
      <c r="H5" s="20">
        <v>1</v>
      </c>
      <c r="I5" s="21">
        <v>5</v>
      </c>
      <c r="J5" s="22">
        <v>2</v>
      </c>
      <c r="K5" s="22">
        <f t="shared" si="1"/>
        <v>3</v>
      </c>
      <c r="L5" s="23" t="str">
        <f>IF(SUMPRODUCT($J$31:K$31,$J5:K5)&lt;0.5, "Pending", IF(K5&lt;0.5, "Complete", "In Progress"))</f>
        <v>In Progress</v>
      </c>
      <c r="M5" s="22">
        <v>2</v>
      </c>
      <c r="N5" s="22">
        <f t="shared" ref="N5:N28" si="24">MAX(K5-M5,0)</f>
        <v>1</v>
      </c>
      <c r="O5" s="23" t="str">
        <f>IF(SUMPRODUCT($J$31:N$31,$J5:N5)&lt;0.5, "Pending", IF(N5&lt;0.5, "Complete", "In Progress"))</f>
        <v>In Progress</v>
      </c>
      <c r="P5" s="22">
        <v>1</v>
      </c>
      <c r="Q5" s="22">
        <f t="shared" ref="Q5:Q28" si="25">MAX(N5-P5,0)</f>
        <v>0</v>
      </c>
      <c r="R5" s="23" t="str">
        <f>IF(SUMPRODUCT($J$31:Q$31,$J5:Q5)&lt;0.5, "Pending", IF(Q5&lt;0.5, "Complete", "In Progress"))</f>
        <v>Complete</v>
      </c>
      <c r="S5" s="22">
        <v>0</v>
      </c>
      <c r="T5" s="22">
        <f t="shared" ref="T5:T28" si="26">MAX(Q5-S5,0)</f>
        <v>0</v>
      </c>
      <c r="U5" s="23" t="str">
        <f>IF(SUMPRODUCT($J$31:T$31,$J5:T5)&lt;0.5, "Pending", IF(T5&lt;0.5, "Complete", "In Progress"))</f>
        <v>Complete</v>
      </c>
      <c r="V5" s="22">
        <v>0</v>
      </c>
      <c r="W5" s="22">
        <f t="shared" ref="W5:W28" si="27">MAX(T5-V5,0)</f>
        <v>0</v>
      </c>
      <c r="X5" s="23" t="str">
        <f>IF(SUMPRODUCT($J$31:W$31,$J5:W5)&lt;0.5, "Pending", IF(W5&lt;0.5, "Complete", "In Progress"))</f>
        <v>Complete</v>
      </c>
      <c r="Y5" s="22">
        <v>0</v>
      </c>
      <c r="Z5" s="22">
        <f t="shared" ref="Z5:Z28" si="28">MAX(W5-Y5,0)</f>
        <v>0</v>
      </c>
      <c r="AA5" s="23" t="str">
        <f>IF(SUMPRODUCT($J$31:Z$31,$J5:Z5)&lt;0.5, "Pending", IF(Z5&lt;0.5, "Complete", "In Progress"))</f>
        <v>Complete</v>
      </c>
      <c r="AB5" s="22">
        <v>0</v>
      </c>
      <c r="AC5" s="22">
        <f t="shared" ref="AC5:AC28" si="29">MAX(Z5-AB5,0)</f>
        <v>0</v>
      </c>
      <c r="AD5" s="23" t="str">
        <f>IF(SUMPRODUCT($J$31:AC$31,$J5:AC5)&lt;0.5, "Pending", IF(AC5&lt;0.5, "Complete", "In Progress"))</f>
        <v>Complete</v>
      </c>
      <c r="AE5" s="22">
        <v>0</v>
      </c>
      <c r="AF5" s="22">
        <f t="shared" ref="AF5:AF28" si="30">MAX(AC5-AE5,0)</f>
        <v>0</v>
      </c>
      <c r="AG5" s="23" t="str">
        <f>IF(SUMPRODUCT($J$31:AF$31,$J5:AF5)&lt;0.5, "Pending", IF(AF5&lt;0.5, "Complete", "In Progress"))</f>
        <v>Complete</v>
      </c>
      <c r="AH5" s="22">
        <v>0</v>
      </c>
      <c r="AI5" s="22">
        <f t="shared" ref="AI5:AI28" si="31">MAX(AF5-AH5,0)</f>
        <v>0</v>
      </c>
      <c r="AJ5" s="23" t="str">
        <f>IF(SUMPRODUCT($J$31:AI$31,$J5:AI5)&lt;0.5, "Pending", IF(AI5&lt;0.5, "Complete", "In Progress"))</f>
        <v>Complete</v>
      </c>
      <c r="AK5" s="22">
        <v>0</v>
      </c>
      <c r="AL5" s="22">
        <f t="shared" ref="AL5:AL28" si="32">MAX(AI5-AK5,0)</f>
        <v>0</v>
      </c>
      <c r="AM5" s="23" t="str">
        <f>IF(SUMPRODUCT($J$31:AL$31,$J5:AL5)&lt;0.5, "Pending", IF(AL5&lt;0.5, "Complete", "In Progress"))</f>
        <v>Complete</v>
      </c>
      <c r="AN5" s="22">
        <v>0</v>
      </c>
      <c r="AO5" s="22">
        <f t="shared" ref="AO5:AO28" si="33">MAX(AL5-AN5,0)</f>
        <v>0</v>
      </c>
      <c r="AP5" s="23" t="str">
        <f>IF(SUMPRODUCT($J$31:AO$31,$J5:AO5)&lt;0.5, "Pending", IF(AO5&lt;0.5, "Complete", "In Progress"))</f>
        <v>Complete</v>
      </c>
      <c r="AQ5" s="22">
        <v>0</v>
      </c>
      <c r="AR5" s="22">
        <f t="shared" ref="AR5:AR28" si="34">MAX(AO5-AQ5,0)</f>
        <v>0</v>
      </c>
      <c r="AS5" s="23" t="str">
        <f>IF(SUMPRODUCT($J$31:AR$31,$J5:AR5)&lt;0.5, "Pending", IF(AR5&lt;0.5, "Complete", "In Progress"))</f>
        <v>Complete</v>
      </c>
      <c r="AT5" s="22">
        <v>0</v>
      </c>
      <c r="AU5" s="22">
        <f t="shared" ref="AU5:AU28" si="35">MAX(AR5-AT5,0)</f>
        <v>0</v>
      </c>
      <c r="AV5" s="23" t="str">
        <f>IF(SUMPRODUCT($J$31:AU$31,$J5:AU5)&lt;0.5, "Pending", IF(AU5&lt;0.5, "Complete", "In Progress"))</f>
        <v>Complete</v>
      </c>
      <c r="AW5" s="22">
        <v>0</v>
      </c>
      <c r="AX5" s="22">
        <f t="shared" ref="AX5:AX28" si="36">MAX(AU5-AW5,0)</f>
        <v>0</v>
      </c>
      <c r="AY5" s="23" t="str">
        <f>IF(SUMPRODUCT($J$31:AX$31,$J5:AX5)&lt;0.5, "Pending", IF(AX5&lt;0.5, "Complete", "In Progress"))</f>
        <v>Complete</v>
      </c>
      <c r="AZ5" s="22">
        <v>0</v>
      </c>
      <c r="BA5" s="22" t="e">
        <f>MAX(#REF!-AZ5,0)</f>
        <v>#REF!</v>
      </c>
      <c r="BB5" s="23" t="e">
        <f>IF(SUMPRODUCT($J$31:BA$31,$J5:BA5)&lt;0.5, "Pending", IF(BA5&lt;0.5, "Complete", "In Progress"))</f>
        <v>#REF!</v>
      </c>
      <c r="BC5" s="22">
        <v>0</v>
      </c>
      <c r="BD5" s="22" t="e">
        <f t="shared" ref="BD5:BD28" si="37">MAX(BA5-BC5,0)</f>
        <v>#REF!</v>
      </c>
      <c r="BE5" s="23" t="e">
        <f>IF(SUMPRODUCT($J$31:BD$31,$J5:BD5)&lt;0.5, "Pending", IF(BD5&lt;0.5, "Complete", "In Progress"))</f>
        <v>#REF!</v>
      </c>
      <c r="BF5" s="22">
        <v>0</v>
      </c>
      <c r="BG5" s="22" t="e">
        <f t="shared" ref="BG5:BG28" si="38">MAX(BD5-BF5,0)</f>
        <v>#REF!</v>
      </c>
      <c r="BH5" s="23" t="e">
        <f>IF(SUMPRODUCT($J$31:BG$31,$J5:BG5)&lt;0.5, "Pending", IF(BG5&lt;0.5, "Complete", "In Progress"))</f>
        <v>#REF!</v>
      </c>
      <c r="BI5" s="22">
        <v>0</v>
      </c>
      <c r="BJ5" s="22" t="e">
        <f t="shared" ref="BJ5:BJ28" si="39">MAX(BG5-BI5,0)</f>
        <v>#REF!</v>
      </c>
      <c r="BK5" s="23" t="e">
        <f>IF(SUMPRODUCT($J$31:BJ$31,$J5:BJ5)&lt;0.5, "Pending", IF(BJ5&lt;0.5, "Complete", "In Progress"))</f>
        <v>#REF!</v>
      </c>
      <c r="BL5" s="22">
        <v>0</v>
      </c>
      <c r="BM5" s="22" t="e">
        <f t="shared" ref="BM5:BM28" si="40">MAX(BJ5-BL5,0)</f>
        <v>#REF!</v>
      </c>
      <c r="BN5" s="23" t="e">
        <f>IF(SUMPRODUCT($J$31:BM$31,$J5:BM5)&lt;0.5, "Pending", IF(BM5&lt;0.5, "Complete", "In Progress"))</f>
        <v>#REF!</v>
      </c>
      <c r="BO5" s="22">
        <v>0</v>
      </c>
      <c r="BP5" s="22" t="e">
        <f t="shared" ref="BP5:BP28" si="41">MAX(BM5-BO5,0)</f>
        <v>#REF!</v>
      </c>
      <c r="BQ5" s="23" t="e">
        <f>IF(SUMPRODUCT($J$31:BP$31,$J5:BP5)&lt;0.5, "Pending", IF(BP5&lt;0.5, "Complete", "In Progress"))</f>
        <v>#REF!</v>
      </c>
      <c r="BR5" s="22">
        <v>0</v>
      </c>
      <c r="BS5" s="22" t="e">
        <f t="shared" ref="BS5:BS28" si="42">MAX(BP5-BR5,0)</f>
        <v>#REF!</v>
      </c>
      <c r="BT5" s="23" t="e">
        <f>IF(SUMPRODUCT($J$31:BS$31,$J5:BS5)&lt;0.5, "Pending", IF(BS5&lt;0.5, "Complete", "In Progress"))</f>
        <v>#REF!</v>
      </c>
      <c r="BU5" s="22">
        <v>0</v>
      </c>
      <c r="BV5" s="22" t="e">
        <f t="shared" ref="BV5:BV28" si="43">MAX(BS5-BU5,0)</f>
        <v>#REF!</v>
      </c>
      <c r="BW5" s="23" t="e">
        <f>IF(SUMPRODUCT($J$31:BV$31,$J5:BV5)&lt;0.5, "Pending", IF(BV5&lt;0.5, "Complete", "In Progress"))</f>
        <v>#REF!</v>
      </c>
      <c r="BX5" s="22">
        <v>0</v>
      </c>
      <c r="BY5" s="22" t="e">
        <f t="shared" ref="BY5:BY28" si="44">MAX(BV5-BX5,0)</f>
        <v>#REF!</v>
      </c>
      <c r="BZ5" s="23" t="e">
        <f>IF(SUMPRODUCT($J$31:BY$31,$J5:BY5)&lt;0.5, "Pending", IF(BY5&lt;0.5, "Complete", "In Progress"))</f>
        <v>#REF!</v>
      </c>
      <c r="CA5" s="22">
        <v>0</v>
      </c>
      <c r="CB5" s="22" t="e">
        <f t="shared" ref="CB5:CB28" si="45">MAX(BY5-CA5,0)</f>
        <v>#REF!</v>
      </c>
      <c r="CC5" s="23" t="e">
        <f>IF(SUMPRODUCT($J$31:CB$31,$J5:CB5)&lt;0.5, "Pending", IF(CB5&lt;0.5, "Complete", "In Progress"))</f>
        <v>#REF!</v>
      </c>
      <c r="CD5" s="24"/>
      <c r="CE5" s="25">
        <f>SUMPRODUCT($H$31:AY$31,$H5:AY5)</f>
        <v>5</v>
      </c>
    </row>
    <row r="6" spans="1:83" ht="15.75" thickBot="1" x14ac:dyDescent="0.25">
      <c r="A6" s="177" t="s">
        <v>104</v>
      </c>
      <c r="B6" s="177" t="s">
        <v>121</v>
      </c>
      <c r="C6" s="183" t="s">
        <v>171</v>
      </c>
      <c r="D6" s="178">
        <v>3</v>
      </c>
      <c r="E6" s="179" t="s">
        <v>155</v>
      </c>
      <c r="F6" s="180" t="s">
        <v>143</v>
      </c>
      <c r="G6" s="19" t="e">
        <f t="shared" ca="1" si="0"/>
        <v>#REF!</v>
      </c>
      <c r="H6" s="20">
        <v>1</v>
      </c>
      <c r="I6" s="21">
        <v>7</v>
      </c>
      <c r="J6" s="22">
        <v>2</v>
      </c>
      <c r="K6" s="22">
        <f t="shared" si="1"/>
        <v>5</v>
      </c>
      <c r="L6" s="23" t="str">
        <f>IF(SUMPRODUCT($J$31:K$31,$J6:K6)&lt;0.5, "Pending", IF(K6&lt;0.5, "Complete", "In Progress"))</f>
        <v>In Progress</v>
      </c>
      <c r="M6" s="22">
        <v>2</v>
      </c>
      <c r="N6" s="22">
        <f t="shared" si="24"/>
        <v>3</v>
      </c>
      <c r="O6" s="23" t="str">
        <f>IF(SUMPRODUCT($J$31:N$31,$J6:N6)&lt;0.5, "Pending", IF(N6&lt;0.5, "Complete", "In Progress"))</f>
        <v>In Progress</v>
      </c>
      <c r="P6" s="22">
        <v>2</v>
      </c>
      <c r="Q6" s="22">
        <f t="shared" si="25"/>
        <v>1</v>
      </c>
      <c r="R6" s="23" t="str">
        <f>IF(SUMPRODUCT($J$31:Q$31,$J6:Q6)&lt;0.5, "Pending", IF(Q6&lt;0.5, "Complete", "In Progress"))</f>
        <v>In Progress</v>
      </c>
      <c r="S6" s="22">
        <v>1</v>
      </c>
      <c r="T6" s="22">
        <f t="shared" si="26"/>
        <v>0</v>
      </c>
      <c r="U6" s="23" t="str">
        <f>IF(SUMPRODUCT($J$31:T$31,$J6:T6)&lt;0.5, "Pending", IF(T6&lt;0.5, "Complete", "In Progress"))</f>
        <v>Complete</v>
      </c>
      <c r="V6" s="22">
        <v>0</v>
      </c>
      <c r="W6" s="22">
        <f t="shared" si="27"/>
        <v>0</v>
      </c>
      <c r="X6" s="23" t="str">
        <f>IF(SUMPRODUCT($J$31:W$31,$J6:W6)&lt;0.5, "Pending", IF(W6&lt;0.5, "Complete", "In Progress"))</f>
        <v>Complete</v>
      </c>
      <c r="Y6" s="22">
        <v>0</v>
      </c>
      <c r="Z6" s="22">
        <f t="shared" si="28"/>
        <v>0</v>
      </c>
      <c r="AA6" s="23" t="str">
        <f>IF(SUMPRODUCT($J$31:Z$31,$J6:Z6)&lt;0.5, "Pending", IF(Z6&lt;0.5, "Complete", "In Progress"))</f>
        <v>Complete</v>
      </c>
      <c r="AB6" s="22">
        <v>0</v>
      </c>
      <c r="AC6" s="22">
        <f t="shared" si="29"/>
        <v>0</v>
      </c>
      <c r="AD6" s="23" t="str">
        <f>IF(SUMPRODUCT($J$31:AC$31,$J6:AC6)&lt;0.5, "Pending", IF(AC6&lt;0.5, "Complete", "In Progress"))</f>
        <v>Complete</v>
      </c>
      <c r="AE6" s="22">
        <v>0</v>
      </c>
      <c r="AF6" s="22">
        <f t="shared" si="30"/>
        <v>0</v>
      </c>
      <c r="AG6" s="23" t="str">
        <f>IF(SUMPRODUCT($J$31:AF$31,$J6:AF6)&lt;0.5, "Pending", IF(AF6&lt;0.5, "Complete", "In Progress"))</f>
        <v>Complete</v>
      </c>
      <c r="AH6" s="22">
        <v>0</v>
      </c>
      <c r="AI6" s="22">
        <f t="shared" si="31"/>
        <v>0</v>
      </c>
      <c r="AJ6" s="23" t="str">
        <f>IF(SUMPRODUCT($J$31:AI$31,$J6:AI6)&lt;0.5, "Pending", IF(AI6&lt;0.5, "Complete", "In Progress"))</f>
        <v>Complete</v>
      </c>
      <c r="AK6" s="22">
        <v>0</v>
      </c>
      <c r="AL6" s="22">
        <f t="shared" si="32"/>
        <v>0</v>
      </c>
      <c r="AM6" s="23" t="str">
        <f>IF(SUMPRODUCT($J$31:AL$31,$J6:AL6)&lt;0.5, "Pending", IF(AL6&lt;0.5, "Complete", "In Progress"))</f>
        <v>Complete</v>
      </c>
      <c r="AN6" s="22">
        <v>0</v>
      </c>
      <c r="AO6" s="22">
        <f t="shared" si="33"/>
        <v>0</v>
      </c>
      <c r="AP6" s="23" t="str">
        <f>IF(SUMPRODUCT($J$31:AO$31,$J6:AO6)&lt;0.5, "Pending", IF(AO6&lt;0.5, "Complete", "In Progress"))</f>
        <v>Complete</v>
      </c>
      <c r="AQ6" s="22">
        <v>0</v>
      </c>
      <c r="AR6" s="22">
        <f t="shared" si="34"/>
        <v>0</v>
      </c>
      <c r="AS6" s="23" t="str">
        <f>IF(SUMPRODUCT($J$31:AR$31,$J6:AR6)&lt;0.5, "Pending", IF(AR6&lt;0.5, "Complete", "In Progress"))</f>
        <v>Complete</v>
      </c>
      <c r="AT6" s="22">
        <v>0</v>
      </c>
      <c r="AU6" s="22">
        <f t="shared" si="35"/>
        <v>0</v>
      </c>
      <c r="AV6" s="23" t="str">
        <f>IF(SUMPRODUCT($J$31:AU$31,$J6:AU6)&lt;0.5, "Pending", IF(AU6&lt;0.5, "Complete", "In Progress"))</f>
        <v>Complete</v>
      </c>
      <c r="AW6" s="22">
        <v>0</v>
      </c>
      <c r="AX6" s="22">
        <f t="shared" si="36"/>
        <v>0</v>
      </c>
      <c r="AY6" s="23" t="str">
        <f>IF(SUMPRODUCT($J$31:AX$31,$J6:AX6)&lt;0.5, "Pending", IF(AX6&lt;0.5, "Complete", "In Progress"))</f>
        <v>Complete</v>
      </c>
      <c r="AZ6" s="22">
        <v>0</v>
      </c>
      <c r="BA6" s="22" t="e">
        <f>MAX(#REF!-AZ6,0)</f>
        <v>#REF!</v>
      </c>
      <c r="BB6" s="23" t="e">
        <f>IF(SUMPRODUCT($J$31:BA$31,$J6:BA6)&lt;0.5, "Pending", IF(BA6&lt;0.5, "Complete", "In Progress"))</f>
        <v>#REF!</v>
      </c>
      <c r="BC6" s="22">
        <v>0</v>
      </c>
      <c r="BD6" s="22" t="e">
        <f t="shared" si="37"/>
        <v>#REF!</v>
      </c>
      <c r="BE6" s="23" t="e">
        <f>IF(SUMPRODUCT($J$31:BD$31,$J6:BD6)&lt;0.5, "Pending", IF(BD6&lt;0.5, "Complete", "In Progress"))</f>
        <v>#REF!</v>
      </c>
      <c r="BF6" s="22">
        <v>0</v>
      </c>
      <c r="BG6" s="22" t="e">
        <f t="shared" si="38"/>
        <v>#REF!</v>
      </c>
      <c r="BH6" s="23" t="e">
        <f>IF(SUMPRODUCT($J$31:BG$31,$J6:BG6)&lt;0.5, "Pending", IF(BG6&lt;0.5, "Complete", "In Progress"))</f>
        <v>#REF!</v>
      </c>
      <c r="BI6" s="22">
        <v>0</v>
      </c>
      <c r="BJ6" s="22" t="e">
        <f t="shared" si="39"/>
        <v>#REF!</v>
      </c>
      <c r="BK6" s="23" t="e">
        <f>IF(SUMPRODUCT($J$31:BJ$31,$J6:BJ6)&lt;0.5, "Pending", IF(BJ6&lt;0.5, "Complete", "In Progress"))</f>
        <v>#REF!</v>
      </c>
      <c r="BL6" s="22">
        <v>0</v>
      </c>
      <c r="BM6" s="22" t="e">
        <f t="shared" si="40"/>
        <v>#REF!</v>
      </c>
      <c r="BN6" s="23" t="e">
        <f>IF(SUMPRODUCT($J$31:BM$31,$J6:BM6)&lt;0.5, "Pending", IF(BM6&lt;0.5, "Complete", "In Progress"))</f>
        <v>#REF!</v>
      </c>
      <c r="BO6" s="22">
        <v>0</v>
      </c>
      <c r="BP6" s="22" t="e">
        <f t="shared" si="41"/>
        <v>#REF!</v>
      </c>
      <c r="BQ6" s="23" t="e">
        <f>IF(SUMPRODUCT($J$31:BP$31,$J6:BP6)&lt;0.5, "Pending", IF(BP6&lt;0.5, "Complete", "In Progress"))</f>
        <v>#REF!</v>
      </c>
      <c r="BR6" s="22">
        <v>0</v>
      </c>
      <c r="BS6" s="22" t="e">
        <f t="shared" si="42"/>
        <v>#REF!</v>
      </c>
      <c r="BT6" s="23" t="e">
        <f>IF(SUMPRODUCT($J$31:BS$31,$J6:BS6)&lt;0.5, "Pending", IF(BS6&lt;0.5, "Complete", "In Progress"))</f>
        <v>#REF!</v>
      </c>
      <c r="BU6" s="22">
        <v>0</v>
      </c>
      <c r="BV6" s="22" t="e">
        <f t="shared" si="43"/>
        <v>#REF!</v>
      </c>
      <c r="BW6" s="23" t="e">
        <f>IF(SUMPRODUCT($J$31:BV$31,$J6:BV6)&lt;0.5, "Pending", IF(BV6&lt;0.5, "Complete", "In Progress"))</f>
        <v>#REF!</v>
      </c>
      <c r="BX6" s="22">
        <v>0</v>
      </c>
      <c r="BY6" s="22" t="e">
        <f t="shared" si="44"/>
        <v>#REF!</v>
      </c>
      <c r="BZ6" s="23" t="e">
        <f>IF(SUMPRODUCT($J$31:BY$31,$J6:BY6)&lt;0.5, "Pending", IF(BY6&lt;0.5, "Complete", "In Progress"))</f>
        <v>#REF!</v>
      </c>
      <c r="CA6" s="22">
        <v>0</v>
      </c>
      <c r="CB6" s="22" t="e">
        <f t="shared" si="45"/>
        <v>#REF!</v>
      </c>
      <c r="CC6" s="23" t="e">
        <f>IF(SUMPRODUCT($J$31:CB$31,$J6:CB6)&lt;0.5, "Pending", IF(CB6&lt;0.5, "Complete", "In Progress"))</f>
        <v>#REF!</v>
      </c>
      <c r="CD6" s="24"/>
      <c r="CE6" s="25">
        <f>SUMPRODUCT($H$31:AY$31,$H6:AY6)</f>
        <v>7</v>
      </c>
    </row>
    <row r="7" spans="1:83" ht="15.75" thickBot="1" x14ac:dyDescent="0.25">
      <c r="A7" s="177" t="s">
        <v>104</v>
      </c>
      <c r="B7" s="177" t="s">
        <v>121</v>
      </c>
      <c r="C7" s="182" t="s">
        <v>170</v>
      </c>
      <c r="D7" s="178">
        <v>4</v>
      </c>
      <c r="E7" s="179" t="s">
        <v>156</v>
      </c>
      <c r="F7" s="180" t="s">
        <v>141</v>
      </c>
      <c r="G7" s="19" t="e">
        <f t="shared" ca="1" si="0"/>
        <v>#REF!</v>
      </c>
      <c r="H7" s="20">
        <v>1</v>
      </c>
      <c r="I7" s="21">
        <v>5</v>
      </c>
      <c r="J7" s="22">
        <v>2</v>
      </c>
      <c r="K7" s="22">
        <f t="shared" si="1"/>
        <v>3</v>
      </c>
      <c r="L7" s="23" t="str">
        <f>IF(SUMPRODUCT($J$31:K$31,$J7:K7)&lt;0.5, "Pending", IF(K7&lt;0.5, "Complete", "In Progress"))</f>
        <v>In Progress</v>
      </c>
      <c r="M7" s="22">
        <v>2</v>
      </c>
      <c r="N7" s="22">
        <f t="shared" si="24"/>
        <v>1</v>
      </c>
      <c r="O7" s="23" t="str">
        <f>IF(SUMPRODUCT($J$31:N$31,$J7:N7)&lt;0.5, "Pending", IF(N7&lt;0.5, "Complete", "In Progress"))</f>
        <v>In Progress</v>
      </c>
      <c r="P7" s="22">
        <v>1</v>
      </c>
      <c r="Q7" s="22">
        <f t="shared" si="25"/>
        <v>0</v>
      </c>
      <c r="R7" s="23" t="str">
        <f>IF(SUMPRODUCT($J$31:Q$31,$J7:Q7)&lt;0.5, "Pending", IF(Q7&lt;0.5, "Complete", "In Progress"))</f>
        <v>Complete</v>
      </c>
      <c r="S7" s="22">
        <v>0</v>
      </c>
      <c r="T7" s="22">
        <f t="shared" si="26"/>
        <v>0</v>
      </c>
      <c r="U7" s="23" t="str">
        <f>IF(SUMPRODUCT($J$31:T$31,$J7:T7)&lt;0.5, "Pending", IF(T7&lt;0.5, "Complete", "In Progress"))</f>
        <v>Complete</v>
      </c>
      <c r="V7" s="22">
        <v>0</v>
      </c>
      <c r="W7" s="22">
        <f t="shared" si="27"/>
        <v>0</v>
      </c>
      <c r="X7" s="23" t="str">
        <f>IF(SUMPRODUCT($J$31:W$31,$J7:W7)&lt;0.5, "Pending", IF(W7&lt;0.5, "Complete", "In Progress"))</f>
        <v>Complete</v>
      </c>
      <c r="Y7" s="22">
        <v>0</v>
      </c>
      <c r="Z7" s="22">
        <f t="shared" si="28"/>
        <v>0</v>
      </c>
      <c r="AA7" s="23" t="str">
        <f>IF(SUMPRODUCT($J$31:Z$31,$J7:Z7)&lt;0.5, "Pending", IF(Z7&lt;0.5, "Complete", "In Progress"))</f>
        <v>Complete</v>
      </c>
      <c r="AB7" s="22">
        <v>0</v>
      </c>
      <c r="AC7" s="22">
        <f t="shared" si="29"/>
        <v>0</v>
      </c>
      <c r="AD7" s="23" t="str">
        <f>IF(SUMPRODUCT($J$31:AC$31,$J7:AC7)&lt;0.5, "Pending", IF(AC7&lt;0.5, "Complete", "In Progress"))</f>
        <v>Complete</v>
      </c>
      <c r="AE7" s="22">
        <v>0</v>
      </c>
      <c r="AF7" s="22">
        <f t="shared" si="30"/>
        <v>0</v>
      </c>
      <c r="AG7" s="23" t="str">
        <f>IF(SUMPRODUCT($J$31:AF$31,$J7:AF7)&lt;0.5, "Pending", IF(AF7&lt;0.5, "Complete", "In Progress"))</f>
        <v>Complete</v>
      </c>
      <c r="AH7" s="22">
        <v>0</v>
      </c>
      <c r="AI7" s="22">
        <f t="shared" si="31"/>
        <v>0</v>
      </c>
      <c r="AJ7" s="23" t="str">
        <f>IF(SUMPRODUCT($J$31:AI$31,$J7:AI7)&lt;0.5, "Pending", IF(AI7&lt;0.5, "Complete", "In Progress"))</f>
        <v>Complete</v>
      </c>
      <c r="AK7" s="22">
        <v>0</v>
      </c>
      <c r="AL7" s="22">
        <f t="shared" si="32"/>
        <v>0</v>
      </c>
      <c r="AM7" s="23" t="str">
        <f>IF(SUMPRODUCT($J$31:AL$31,$J7:AL7)&lt;0.5, "Pending", IF(AL7&lt;0.5, "Complete", "In Progress"))</f>
        <v>Complete</v>
      </c>
      <c r="AN7" s="22">
        <v>0</v>
      </c>
      <c r="AO7" s="22">
        <f t="shared" si="33"/>
        <v>0</v>
      </c>
      <c r="AP7" s="23" t="str">
        <f>IF(SUMPRODUCT($J$31:AO$31,$J7:AO7)&lt;0.5, "Pending", IF(AO7&lt;0.5, "Complete", "In Progress"))</f>
        <v>Complete</v>
      </c>
      <c r="AQ7" s="22">
        <v>0</v>
      </c>
      <c r="AR7" s="22">
        <f t="shared" si="34"/>
        <v>0</v>
      </c>
      <c r="AS7" s="23" t="str">
        <f>IF(SUMPRODUCT($J$31:AR$31,$J7:AR7)&lt;0.5, "Pending", IF(AR7&lt;0.5, "Complete", "In Progress"))</f>
        <v>Complete</v>
      </c>
      <c r="AT7" s="22">
        <v>0</v>
      </c>
      <c r="AU7" s="22">
        <f t="shared" si="35"/>
        <v>0</v>
      </c>
      <c r="AV7" s="23" t="str">
        <f>IF(SUMPRODUCT($J$31:AU$31,$J7:AU7)&lt;0.5, "Pending", IF(AU7&lt;0.5, "Complete", "In Progress"))</f>
        <v>Complete</v>
      </c>
      <c r="AW7" s="22">
        <v>0</v>
      </c>
      <c r="AX7" s="22">
        <f t="shared" si="36"/>
        <v>0</v>
      </c>
      <c r="AY7" s="23" t="str">
        <f>IF(SUMPRODUCT($J$31:AX$31,$J7:AX7)&lt;0.5, "Pending", IF(AX7&lt;0.5, "Complete", "In Progress"))</f>
        <v>Complete</v>
      </c>
      <c r="AZ7" s="22">
        <v>0</v>
      </c>
      <c r="BA7" s="22" t="e">
        <f>MAX(#REF!-AZ7,0)</f>
        <v>#REF!</v>
      </c>
      <c r="BB7" s="23" t="e">
        <f>IF(SUMPRODUCT($J$31:BA$31,$J7:BA7)&lt;0.5, "Pending", IF(BA7&lt;0.5, "Complete", "In Progress"))</f>
        <v>#REF!</v>
      </c>
      <c r="BC7" s="22">
        <v>0</v>
      </c>
      <c r="BD7" s="22" t="e">
        <f t="shared" si="37"/>
        <v>#REF!</v>
      </c>
      <c r="BE7" s="23" t="e">
        <f>IF(SUMPRODUCT($J$31:BD$31,$J7:BD7)&lt;0.5, "Pending", IF(BD7&lt;0.5, "Complete", "In Progress"))</f>
        <v>#REF!</v>
      </c>
      <c r="BF7" s="22">
        <v>0</v>
      </c>
      <c r="BG7" s="22" t="e">
        <f t="shared" si="38"/>
        <v>#REF!</v>
      </c>
      <c r="BH7" s="23" t="e">
        <f>IF(SUMPRODUCT($J$31:BG$31,$J7:BG7)&lt;0.5, "Pending", IF(BG7&lt;0.5, "Complete", "In Progress"))</f>
        <v>#REF!</v>
      </c>
      <c r="BI7" s="22">
        <v>0</v>
      </c>
      <c r="BJ7" s="22" t="e">
        <f t="shared" si="39"/>
        <v>#REF!</v>
      </c>
      <c r="BK7" s="23" t="e">
        <f>IF(SUMPRODUCT($J$31:BJ$31,$J7:BJ7)&lt;0.5, "Pending", IF(BJ7&lt;0.5, "Complete", "In Progress"))</f>
        <v>#REF!</v>
      </c>
      <c r="BL7" s="22">
        <v>0</v>
      </c>
      <c r="BM7" s="22" t="e">
        <f t="shared" si="40"/>
        <v>#REF!</v>
      </c>
      <c r="BN7" s="23" t="e">
        <f>IF(SUMPRODUCT($J$31:BM$31,$J7:BM7)&lt;0.5, "Pending", IF(BM7&lt;0.5, "Complete", "In Progress"))</f>
        <v>#REF!</v>
      </c>
      <c r="BO7" s="22">
        <v>0</v>
      </c>
      <c r="BP7" s="22" t="e">
        <f t="shared" si="41"/>
        <v>#REF!</v>
      </c>
      <c r="BQ7" s="23" t="e">
        <f>IF(SUMPRODUCT($J$31:BP$31,$J7:BP7)&lt;0.5, "Pending", IF(BP7&lt;0.5, "Complete", "In Progress"))</f>
        <v>#REF!</v>
      </c>
      <c r="BR7" s="22">
        <v>0</v>
      </c>
      <c r="BS7" s="22" t="e">
        <f t="shared" si="42"/>
        <v>#REF!</v>
      </c>
      <c r="BT7" s="23" t="e">
        <f>IF(SUMPRODUCT($J$31:BS$31,$J7:BS7)&lt;0.5, "Pending", IF(BS7&lt;0.5, "Complete", "In Progress"))</f>
        <v>#REF!</v>
      </c>
      <c r="BU7" s="22">
        <v>0</v>
      </c>
      <c r="BV7" s="22" t="e">
        <f t="shared" si="43"/>
        <v>#REF!</v>
      </c>
      <c r="BW7" s="23" t="e">
        <f>IF(SUMPRODUCT($J$31:BV$31,$J7:BV7)&lt;0.5, "Pending", IF(BV7&lt;0.5, "Complete", "In Progress"))</f>
        <v>#REF!</v>
      </c>
      <c r="BX7" s="22">
        <v>0</v>
      </c>
      <c r="BY7" s="22" t="e">
        <f t="shared" si="44"/>
        <v>#REF!</v>
      </c>
      <c r="BZ7" s="23" t="e">
        <f>IF(SUMPRODUCT($J$31:BY$31,$J7:BY7)&lt;0.5, "Pending", IF(BY7&lt;0.5, "Complete", "In Progress"))</f>
        <v>#REF!</v>
      </c>
      <c r="CA7" s="22">
        <v>0</v>
      </c>
      <c r="CB7" s="22" t="e">
        <f t="shared" si="45"/>
        <v>#REF!</v>
      </c>
      <c r="CC7" s="23" t="e">
        <f>IF(SUMPRODUCT($J$31:CB$31,$J7:CB7)&lt;0.5, "Pending", IF(CB7&lt;0.5, "Complete", "In Progress"))</f>
        <v>#REF!</v>
      </c>
      <c r="CD7" s="24"/>
      <c r="CE7" s="25">
        <f>SUMPRODUCT($H$31:AY$31,$H7:AY7)</f>
        <v>5</v>
      </c>
    </row>
    <row r="8" spans="1:83" ht="30.75" thickBot="1" x14ac:dyDescent="0.25">
      <c r="A8" s="177" t="s">
        <v>104</v>
      </c>
      <c r="B8" s="177" t="s">
        <v>121</v>
      </c>
      <c r="C8" s="182" t="s">
        <v>170</v>
      </c>
      <c r="D8" s="178">
        <v>5</v>
      </c>
      <c r="E8" s="179" t="s">
        <v>157</v>
      </c>
      <c r="F8" s="180" t="s">
        <v>141</v>
      </c>
      <c r="G8" s="19" t="e">
        <f t="shared" ca="1" si="0"/>
        <v>#REF!</v>
      </c>
      <c r="H8" s="20">
        <v>1</v>
      </c>
      <c r="I8" s="21">
        <v>2</v>
      </c>
      <c r="J8" s="22">
        <v>0</v>
      </c>
      <c r="K8" s="22">
        <f t="shared" si="1"/>
        <v>2</v>
      </c>
      <c r="L8" s="23" t="str">
        <f>IF(SUMPRODUCT($J$31:K$31,$J8:K8)&lt;0.5, "Pending", IF(K8&lt;0.5, "Complete", "In Progress"))</f>
        <v>Pending</v>
      </c>
      <c r="M8" s="22">
        <v>0</v>
      </c>
      <c r="N8" s="22">
        <f t="shared" si="24"/>
        <v>2</v>
      </c>
      <c r="O8" s="23" t="str">
        <f>IF(SUMPRODUCT($J$31:N$31,$J8:N8)&lt;0.5, "Pending", IF(N8&lt;0.5, "Complete", "In Progress"))</f>
        <v>Pending</v>
      </c>
      <c r="P8" s="22">
        <v>1</v>
      </c>
      <c r="Q8" s="22">
        <f t="shared" si="25"/>
        <v>1</v>
      </c>
      <c r="R8" s="23" t="str">
        <f>IF(SUMPRODUCT($J$31:Q$31,$J8:Q8)&lt;0.5, "Pending", IF(Q8&lt;0.5, "Complete", "In Progress"))</f>
        <v>In Progress</v>
      </c>
      <c r="S8" s="22">
        <v>1</v>
      </c>
      <c r="T8" s="22">
        <f t="shared" si="26"/>
        <v>0</v>
      </c>
      <c r="U8" s="23" t="str">
        <f>IF(SUMPRODUCT($J$31:T$31,$J8:T8)&lt;0.5, "Pending", IF(T8&lt;0.5, "Complete", "In Progress"))</f>
        <v>Complete</v>
      </c>
      <c r="V8" s="22">
        <v>0</v>
      </c>
      <c r="W8" s="22">
        <f t="shared" si="27"/>
        <v>0</v>
      </c>
      <c r="X8" s="23" t="str">
        <f>IF(SUMPRODUCT($J$31:W$31,$J8:W8)&lt;0.5, "Pending", IF(W8&lt;0.5, "Complete", "In Progress"))</f>
        <v>Complete</v>
      </c>
      <c r="Y8" s="22">
        <v>0</v>
      </c>
      <c r="Z8" s="22">
        <f t="shared" si="28"/>
        <v>0</v>
      </c>
      <c r="AA8" s="23" t="str">
        <f>IF(SUMPRODUCT($J$31:Z$31,$J8:Z8)&lt;0.5, "Pending", IF(Z8&lt;0.5, "Complete", "In Progress"))</f>
        <v>Complete</v>
      </c>
      <c r="AB8" s="22">
        <v>0</v>
      </c>
      <c r="AC8" s="22">
        <f t="shared" si="29"/>
        <v>0</v>
      </c>
      <c r="AD8" s="23" t="str">
        <f>IF(SUMPRODUCT($J$31:AC$31,$J8:AC8)&lt;0.5, "Pending", IF(AC8&lt;0.5, "Complete", "In Progress"))</f>
        <v>Complete</v>
      </c>
      <c r="AE8" s="22">
        <v>0</v>
      </c>
      <c r="AF8" s="22">
        <f t="shared" si="30"/>
        <v>0</v>
      </c>
      <c r="AG8" s="23" t="str">
        <f>IF(SUMPRODUCT($J$31:AF$31,$J8:AF8)&lt;0.5, "Pending", IF(AF8&lt;0.5, "Complete", "In Progress"))</f>
        <v>Complete</v>
      </c>
      <c r="AH8" s="22">
        <v>0</v>
      </c>
      <c r="AI8" s="22">
        <f t="shared" si="31"/>
        <v>0</v>
      </c>
      <c r="AJ8" s="23" t="str">
        <f>IF(SUMPRODUCT($J$31:AI$31,$J8:AI8)&lt;0.5, "Pending", IF(AI8&lt;0.5, "Complete", "In Progress"))</f>
        <v>Complete</v>
      </c>
      <c r="AK8" s="22">
        <v>0</v>
      </c>
      <c r="AL8" s="22">
        <f t="shared" si="32"/>
        <v>0</v>
      </c>
      <c r="AM8" s="23" t="str">
        <f>IF(SUMPRODUCT($J$31:AL$31,$J8:AL8)&lt;0.5, "Pending", IF(AL8&lt;0.5, "Complete", "In Progress"))</f>
        <v>Complete</v>
      </c>
      <c r="AN8" s="22">
        <v>0</v>
      </c>
      <c r="AO8" s="22">
        <f t="shared" si="33"/>
        <v>0</v>
      </c>
      <c r="AP8" s="23" t="str">
        <f>IF(SUMPRODUCT($J$31:AO$31,$J8:AO8)&lt;0.5, "Pending", IF(AO8&lt;0.5, "Complete", "In Progress"))</f>
        <v>Complete</v>
      </c>
      <c r="AQ8" s="22">
        <v>0</v>
      </c>
      <c r="AR8" s="22">
        <f t="shared" si="34"/>
        <v>0</v>
      </c>
      <c r="AS8" s="23" t="str">
        <f>IF(SUMPRODUCT($J$31:AR$31,$J8:AR8)&lt;0.5, "Pending", IF(AR8&lt;0.5, "Complete", "In Progress"))</f>
        <v>Complete</v>
      </c>
      <c r="AT8" s="22">
        <v>0</v>
      </c>
      <c r="AU8" s="22">
        <f t="shared" si="35"/>
        <v>0</v>
      </c>
      <c r="AV8" s="23" t="str">
        <f>IF(SUMPRODUCT($J$31:AU$31,$J8:AU8)&lt;0.5, "Pending", IF(AU8&lt;0.5, "Complete", "In Progress"))</f>
        <v>Complete</v>
      </c>
      <c r="AW8" s="22">
        <v>0</v>
      </c>
      <c r="AX8" s="22">
        <f t="shared" si="36"/>
        <v>0</v>
      </c>
      <c r="AY8" s="23" t="str">
        <f>IF(SUMPRODUCT($J$31:AX$31,$J8:AX8)&lt;0.5, "Pending", IF(AX8&lt;0.5, "Complete", "In Progress"))</f>
        <v>Complete</v>
      </c>
      <c r="AZ8" s="22">
        <v>0</v>
      </c>
      <c r="BA8" s="22" t="e">
        <f>MAX(#REF!-AZ8,0)</f>
        <v>#REF!</v>
      </c>
      <c r="BB8" s="23" t="e">
        <f>IF(SUMPRODUCT($J$31:BA$31,$J8:BA8)&lt;0.5, "Pending", IF(BA8&lt;0.5, "Complete", "In Progress"))</f>
        <v>#REF!</v>
      </c>
      <c r="BC8" s="22">
        <v>0</v>
      </c>
      <c r="BD8" s="22" t="e">
        <f t="shared" si="37"/>
        <v>#REF!</v>
      </c>
      <c r="BE8" s="23" t="e">
        <f>IF(SUMPRODUCT($J$31:BD$31,$J8:BD8)&lt;0.5, "Pending", IF(BD8&lt;0.5, "Complete", "In Progress"))</f>
        <v>#REF!</v>
      </c>
      <c r="BF8" s="22">
        <v>0</v>
      </c>
      <c r="BG8" s="22" t="e">
        <f t="shared" si="38"/>
        <v>#REF!</v>
      </c>
      <c r="BH8" s="23" t="e">
        <f>IF(SUMPRODUCT($J$31:BG$31,$J8:BG8)&lt;0.5, "Pending", IF(BG8&lt;0.5, "Complete", "In Progress"))</f>
        <v>#REF!</v>
      </c>
      <c r="BI8" s="22">
        <v>0</v>
      </c>
      <c r="BJ8" s="22" t="e">
        <f t="shared" si="39"/>
        <v>#REF!</v>
      </c>
      <c r="BK8" s="23" t="e">
        <f>IF(SUMPRODUCT($J$31:BJ$31,$J8:BJ8)&lt;0.5, "Pending", IF(BJ8&lt;0.5, "Complete", "In Progress"))</f>
        <v>#REF!</v>
      </c>
      <c r="BL8" s="22">
        <v>0</v>
      </c>
      <c r="BM8" s="22" t="e">
        <f t="shared" si="40"/>
        <v>#REF!</v>
      </c>
      <c r="BN8" s="23" t="e">
        <f>IF(SUMPRODUCT($J$31:BM$31,$J8:BM8)&lt;0.5, "Pending", IF(BM8&lt;0.5, "Complete", "In Progress"))</f>
        <v>#REF!</v>
      </c>
      <c r="BO8" s="22">
        <v>0</v>
      </c>
      <c r="BP8" s="22" t="e">
        <f t="shared" si="41"/>
        <v>#REF!</v>
      </c>
      <c r="BQ8" s="23" t="e">
        <f>IF(SUMPRODUCT($J$31:BP$31,$J8:BP8)&lt;0.5, "Pending", IF(BP8&lt;0.5, "Complete", "In Progress"))</f>
        <v>#REF!</v>
      </c>
      <c r="BR8" s="22">
        <v>0</v>
      </c>
      <c r="BS8" s="22" t="e">
        <f t="shared" si="42"/>
        <v>#REF!</v>
      </c>
      <c r="BT8" s="23" t="e">
        <f>IF(SUMPRODUCT($J$31:BS$31,$J8:BS8)&lt;0.5, "Pending", IF(BS8&lt;0.5, "Complete", "In Progress"))</f>
        <v>#REF!</v>
      </c>
      <c r="BU8" s="22">
        <v>0</v>
      </c>
      <c r="BV8" s="22" t="e">
        <f t="shared" si="43"/>
        <v>#REF!</v>
      </c>
      <c r="BW8" s="23" t="e">
        <f>IF(SUMPRODUCT($J$31:BV$31,$J8:BV8)&lt;0.5, "Pending", IF(BV8&lt;0.5, "Complete", "In Progress"))</f>
        <v>#REF!</v>
      </c>
      <c r="BX8" s="22">
        <v>0</v>
      </c>
      <c r="BY8" s="22" t="e">
        <f t="shared" si="44"/>
        <v>#REF!</v>
      </c>
      <c r="BZ8" s="23" t="e">
        <f>IF(SUMPRODUCT($J$31:BY$31,$J8:BY8)&lt;0.5, "Pending", IF(BY8&lt;0.5, "Complete", "In Progress"))</f>
        <v>#REF!</v>
      </c>
      <c r="CA8" s="22">
        <v>0</v>
      </c>
      <c r="CB8" s="22" t="e">
        <f t="shared" si="45"/>
        <v>#REF!</v>
      </c>
      <c r="CC8" s="23" t="e">
        <f>IF(SUMPRODUCT($J$31:CB$31,$J8:CB8)&lt;0.5, "Pending", IF(CB8&lt;0.5, "Complete", "In Progress"))</f>
        <v>#REF!</v>
      </c>
      <c r="CD8" s="24"/>
      <c r="CE8" s="25">
        <f>SUMPRODUCT($H$31:AY$31,$H8:AY8)</f>
        <v>2</v>
      </c>
    </row>
    <row r="9" spans="1:83" ht="45.75" thickBot="1" x14ac:dyDescent="0.25">
      <c r="A9" s="177" t="s">
        <v>104</v>
      </c>
      <c r="B9" s="177" t="s">
        <v>121</v>
      </c>
      <c r="C9" s="189" t="s">
        <v>175</v>
      </c>
      <c r="D9" s="178">
        <v>6</v>
      </c>
      <c r="E9" s="179" t="s">
        <v>158</v>
      </c>
      <c r="F9" s="180" t="s">
        <v>141</v>
      </c>
      <c r="G9" s="19" t="e">
        <f t="shared" ca="1" si="0"/>
        <v>#REF!</v>
      </c>
      <c r="H9" s="20">
        <v>1</v>
      </c>
      <c r="I9" s="21">
        <v>7</v>
      </c>
      <c r="J9" s="22">
        <v>0</v>
      </c>
      <c r="K9" s="22">
        <f t="shared" si="1"/>
        <v>7</v>
      </c>
      <c r="L9" s="23" t="str">
        <f>IF(SUMPRODUCT($J$31:K$31,$J9:K9)&lt;0.5, "Pending", IF(K9&lt;0.5, "Complete", "In Progress"))</f>
        <v>Pending</v>
      </c>
      <c r="M9" s="22">
        <v>0</v>
      </c>
      <c r="N9" s="22">
        <f t="shared" si="24"/>
        <v>7</v>
      </c>
      <c r="O9" s="23" t="str">
        <f>IF(SUMPRODUCT($J$31:N$31,$J9:N9)&lt;0.5, "Pending", IF(N9&lt;0.5, "Complete", "In Progress"))</f>
        <v>Pending</v>
      </c>
      <c r="P9" s="22">
        <v>0</v>
      </c>
      <c r="Q9" s="22">
        <f t="shared" si="25"/>
        <v>7</v>
      </c>
      <c r="R9" s="23" t="str">
        <f>IF(SUMPRODUCT($J$31:Q$31,$J9:Q9)&lt;0.5, "Pending", IF(Q9&lt;0.5, "Complete", "In Progress"))</f>
        <v>Pending</v>
      </c>
      <c r="S9" s="22">
        <v>1</v>
      </c>
      <c r="T9" s="22">
        <f t="shared" si="26"/>
        <v>6</v>
      </c>
      <c r="U9" s="23" t="str">
        <f>IF(SUMPRODUCT($J$31:T$31,$J9:T9)&lt;0.5, "Pending", IF(T9&lt;0.5, "Complete", "In Progress"))</f>
        <v>In Progress</v>
      </c>
      <c r="V9" s="22">
        <v>2</v>
      </c>
      <c r="W9" s="22">
        <f t="shared" si="27"/>
        <v>4</v>
      </c>
      <c r="X9" s="23" t="str">
        <f>IF(SUMPRODUCT($J$31:W$31,$J9:W9)&lt;0.5, "Pending", IF(W9&lt;0.5, "Complete", "In Progress"))</f>
        <v>In Progress</v>
      </c>
      <c r="Y9" s="22">
        <v>2</v>
      </c>
      <c r="Z9" s="22">
        <f t="shared" si="28"/>
        <v>2</v>
      </c>
      <c r="AA9" s="23" t="str">
        <f>IF(SUMPRODUCT($J$31:Z$31,$J9:Z9)&lt;0.5, "Pending", IF(Z9&lt;0.5, "Complete", "In Progress"))</f>
        <v>In Progress</v>
      </c>
      <c r="AB9" s="22">
        <v>2</v>
      </c>
      <c r="AC9" s="22">
        <f t="shared" si="29"/>
        <v>0</v>
      </c>
      <c r="AD9" s="23" t="str">
        <f>IF(SUMPRODUCT($J$31:AC$31,$J9:AC9)&lt;0.5, "Pending", IF(AC9&lt;0.5, "Complete", "In Progress"))</f>
        <v>Complete</v>
      </c>
      <c r="AE9" s="22">
        <v>0</v>
      </c>
      <c r="AF9" s="22">
        <f t="shared" si="30"/>
        <v>0</v>
      </c>
      <c r="AG9" s="23" t="str">
        <f>IF(SUMPRODUCT($J$31:AF$31,$J9:AF9)&lt;0.5, "Pending", IF(AF9&lt;0.5, "Complete", "In Progress"))</f>
        <v>Complete</v>
      </c>
      <c r="AH9" s="22">
        <v>0</v>
      </c>
      <c r="AI9" s="22">
        <f t="shared" si="31"/>
        <v>0</v>
      </c>
      <c r="AJ9" s="23" t="str">
        <f>IF(SUMPRODUCT($J$31:AI$31,$J9:AI9)&lt;0.5, "Pending", IF(AI9&lt;0.5, "Complete", "In Progress"))</f>
        <v>Complete</v>
      </c>
      <c r="AK9" s="22">
        <v>0</v>
      </c>
      <c r="AL9" s="22">
        <f t="shared" si="32"/>
        <v>0</v>
      </c>
      <c r="AM9" s="23" t="str">
        <f>IF(SUMPRODUCT($J$31:AL$31,$J9:AL9)&lt;0.5, "Pending", IF(AL9&lt;0.5, "Complete", "In Progress"))</f>
        <v>Complete</v>
      </c>
      <c r="AN9" s="22">
        <v>0</v>
      </c>
      <c r="AO9" s="22">
        <f t="shared" si="33"/>
        <v>0</v>
      </c>
      <c r="AP9" s="23" t="str">
        <f>IF(SUMPRODUCT($J$31:AO$31,$J9:AO9)&lt;0.5, "Pending", IF(AO9&lt;0.5, "Complete", "In Progress"))</f>
        <v>Complete</v>
      </c>
      <c r="AQ9" s="22">
        <v>0</v>
      </c>
      <c r="AR9" s="22">
        <f t="shared" si="34"/>
        <v>0</v>
      </c>
      <c r="AS9" s="23" t="str">
        <f>IF(SUMPRODUCT($J$31:AR$31,$J9:AR9)&lt;0.5, "Pending", IF(AR9&lt;0.5, "Complete", "In Progress"))</f>
        <v>Complete</v>
      </c>
      <c r="AT9" s="22">
        <v>0</v>
      </c>
      <c r="AU9" s="22">
        <f t="shared" si="35"/>
        <v>0</v>
      </c>
      <c r="AV9" s="23" t="str">
        <f>IF(SUMPRODUCT($J$31:AU$31,$J9:AU9)&lt;0.5, "Pending", IF(AU9&lt;0.5, "Complete", "In Progress"))</f>
        <v>Complete</v>
      </c>
      <c r="AW9" s="22">
        <v>0</v>
      </c>
      <c r="AX9" s="22">
        <f t="shared" si="36"/>
        <v>0</v>
      </c>
      <c r="AY9" s="23" t="str">
        <f>IF(SUMPRODUCT($J$31:AX$31,$J9:AX9)&lt;0.5, "Pending", IF(AX9&lt;0.5, "Complete", "In Progress"))</f>
        <v>Complete</v>
      </c>
      <c r="AZ9" s="22">
        <v>0</v>
      </c>
      <c r="BA9" s="22" t="e">
        <f>MAX(#REF!-AZ9,0)</f>
        <v>#REF!</v>
      </c>
      <c r="BB9" s="23" t="e">
        <f>IF(SUMPRODUCT($J$31:BA$31,$J9:BA9)&lt;0.5, "Pending", IF(BA9&lt;0.5, "Complete", "In Progress"))</f>
        <v>#REF!</v>
      </c>
      <c r="BC9" s="22">
        <v>0</v>
      </c>
      <c r="BD9" s="22" t="e">
        <f t="shared" si="37"/>
        <v>#REF!</v>
      </c>
      <c r="BE9" s="23" t="e">
        <f>IF(SUMPRODUCT($J$31:BD$31,$J9:BD9)&lt;0.5, "Pending", IF(BD9&lt;0.5, "Complete", "In Progress"))</f>
        <v>#REF!</v>
      </c>
      <c r="BF9" s="22">
        <v>0</v>
      </c>
      <c r="BG9" s="22" t="e">
        <f t="shared" si="38"/>
        <v>#REF!</v>
      </c>
      <c r="BH9" s="23" t="e">
        <f>IF(SUMPRODUCT($J$31:BG$31,$J9:BG9)&lt;0.5, "Pending", IF(BG9&lt;0.5, "Complete", "In Progress"))</f>
        <v>#REF!</v>
      </c>
      <c r="BI9" s="22">
        <v>0</v>
      </c>
      <c r="BJ9" s="22" t="e">
        <f t="shared" si="39"/>
        <v>#REF!</v>
      </c>
      <c r="BK9" s="23" t="e">
        <f>IF(SUMPRODUCT($J$31:BJ$31,$J9:BJ9)&lt;0.5, "Pending", IF(BJ9&lt;0.5, "Complete", "In Progress"))</f>
        <v>#REF!</v>
      </c>
      <c r="BL9" s="22">
        <v>0</v>
      </c>
      <c r="BM9" s="22" t="e">
        <f t="shared" si="40"/>
        <v>#REF!</v>
      </c>
      <c r="BN9" s="23" t="e">
        <f>IF(SUMPRODUCT($J$31:BM$31,$J9:BM9)&lt;0.5, "Pending", IF(BM9&lt;0.5, "Complete", "In Progress"))</f>
        <v>#REF!</v>
      </c>
      <c r="BO9" s="22">
        <v>0</v>
      </c>
      <c r="BP9" s="22" t="e">
        <f t="shared" si="41"/>
        <v>#REF!</v>
      </c>
      <c r="BQ9" s="23" t="e">
        <f>IF(SUMPRODUCT($J$31:BP$31,$J9:BP9)&lt;0.5, "Pending", IF(BP9&lt;0.5, "Complete", "In Progress"))</f>
        <v>#REF!</v>
      </c>
      <c r="BR9" s="22">
        <v>0</v>
      </c>
      <c r="BS9" s="22" t="e">
        <f t="shared" si="42"/>
        <v>#REF!</v>
      </c>
      <c r="BT9" s="23" t="e">
        <f>IF(SUMPRODUCT($J$31:BS$31,$J9:BS9)&lt;0.5, "Pending", IF(BS9&lt;0.5, "Complete", "In Progress"))</f>
        <v>#REF!</v>
      </c>
      <c r="BU9" s="22">
        <v>0</v>
      </c>
      <c r="BV9" s="22" t="e">
        <f t="shared" si="43"/>
        <v>#REF!</v>
      </c>
      <c r="BW9" s="23" t="e">
        <f>IF(SUMPRODUCT($J$31:BV$31,$J9:BV9)&lt;0.5, "Pending", IF(BV9&lt;0.5, "Complete", "In Progress"))</f>
        <v>#REF!</v>
      </c>
      <c r="BX9" s="22">
        <v>0</v>
      </c>
      <c r="BY9" s="22" t="e">
        <f t="shared" si="44"/>
        <v>#REF!</v>
      </c>
      <c r="BZ9" s="23" t="e">
        <f>IF(SUMPRODUCT($J$31:BY$31,$J9:BY9)&lt;0.5, "Pending", IF(BY9&lt;0.5, "Complete", "In Progress"))</f>
        <v>#REF!</v>
      </c>
      <c r="CA9" s="22">
        <v>0</v>
      </c>
      <c r="CB9" s="22" t="e">
        <f t="shared" si="45"/>
        <v>#REF!</v>
      </c>
      <c r="CC9" s="23" t="e">
        <f>IF(SUMPRODUCT($J$31:CB$31,$J9:CB9)&lt;0.5, "Pending", IF(CB9&lt;0.5, "Complete", "In Progress"))</f>
        <v>#REF!</v>
      </c>
      <c r="CD9" s="24"/>
      <c r="CE9" s="25">
        <f>SUMPRODUCT($H$31:AY$31,$H9:AY9)</f>
        <v>7</v>
      </c>
    </row>
    <row r="10" spans="1:83" ht="30.75" thickBot="1" x14ac:dyDescent="0.25">
      <c r="A10" s="177" t="s">
        <v>104</v>
      </c>
      <c r="B10" s="177" t="s">
        <v>112</v>
      </c>
      <c r="C10" s="183" t="s">
        <v>171</v>
      </c>
      <c r="D10" s="178">
        <v>7</v>
      </c>
      <c r="E10" s="179" t="s">
        <v>134</v>
      </c>
      <c r="F10" s="180" t="s">
        <v>135</v>
      </c>
      <c r="G10" s="19" t="e">
        <f t="shared" ca="1" si="0"/>
        <v>#REF!</v>
      </c>
      <c r="H10" s="20">
        <v>1</v>
      </c>
      <c r="I10" s="21">
        <v>6</v>
      </c>
      <c r="J10" s="22">
        <v>0</v>
      </c>
      <c r="K10" s="22">
        <f t="shared" si="1"/>
        <v>6</v>
      </c>
      <c r="L10" s="23" t="str">
        <f>IF(SUMPRODUCT($J$31:K$31,$J10:K10)&lt;0.5, "Pending", IF(K10&lt;0.5, "Complete", "In Progress"))</f>
        <v>Pending</v>
      </c>
      <c r="M10" s="22">
        <v>0</v>
      </c>
      <c r="N10" s="22">
        <f t="shared" ref="N10" si="46">MAX(K10-M10,0)</f>
        <v>6</v>
      </c>
      <c r="O10" s="23" t="str">
        <f>IF(SUMPRODUCT($J$31:N$31,$J10:N10)&lt;0.5, "Pending", IF(N10&lt;0.5, "Complete", "In Progress"))</f>
        <v>Pending</v>
      </c>
      <c r="P10" s="22">
        <v>0</v>
      </c>
      <c r="Q10" s="22">
        <f t="shared" ref="Q10" si="47">MAX(N10-P10,0)</f>
        <v>6</v>
      </c>
      <c r="R10" s="23" t="str">
        <f>IF(SUMPRODUCT($J$31:Q$31,$J10:Q10)&lt;0.5, "Pending", IF(Q10&lt;0.5, "Complete", "In Progress"))</f>
        <v>Pending</v>
      </c>
      <c r="S10" s="22">
        <v>2</v>
      </c>
      <c r="T10" s="22">
        <f t="shared" ref="T10" si="48">MAX(Q10-S10,0)</f>
        <v>4</v>
      </c>
      <c r="U10" s="23" t="str">
        <f>IF(SUMPRODUCT($J$31:T$31,$J10:T10)&lt;0.5, "Pending", IF(T10&lt;0.5, "Complete", "In Progress"))</f>
        <v>In Progress</v>
      </c>
      <c r="V10" s="22">
        <v>2</v>
      </c>
      <c r="W10" s="22">
        <f t="shared" ref="W10" si="49">MAX(T10-V10,0)</f>
        <v>2</v>
      </c>
      <c r="X10" s="23" t="str">
        <f>IF(SUMPRODUCT($J$31:W$31,$J10:W10)&lt;0.5, "Pending", IF(W10&lt;0.5, "Complete", "In Progress"))</f>
        <v>In Progress</v>
      </c>
      <c r="Y10" s="22">
        <v>2</v>
      </c>
      <c r="Z10" s="22">
        <f t="shared" ref="Z10" si="50">MAX(W10-Y10,0)</f>
        <v>0</v>
      </c>
      <c r="AA10" s="23" t="str">
        <f>IF(SUMPRODUCT($J$31:Z$31,$J10:Z10)&lt;0.5, "Pending", IF(Z10&lt;0.5, "Complete", "In Progress"))</f>
        <v>Complete</v>
      </c>
      <c r="AB10" s="22">
        <v>0</v>
      </c>
      <c r="AC10" s="22">
        <f t="shared" ref="AC10" si="51">MAX(Z10-AB10,0)</f>
        <v>0</v>
      </c>
      <c r="AD10" s="23" t="str">
        <f>IF(SUMPRODUCT($J$31:AC$31,$J10:AC10)&lt;0.5, "Pending", IF(AC10&lt;0.5, "Complete", "In Progress"))</f>
        <v>Complete</v>
      </c>
      <c r="AE10" s="22">
        <v>0</v>
      </c>
      <c r="AF10" s="22">
        <f t="shared" ref="AF10" si="52">MAX(AC10-AE10,0)</f>
        <v>0</v>
      </c>
      <c r="AG10" s="23" t="str">
        <f>IF(SUMPRODUCT($J$31:AF$31,$J10:AF10)&lt;0.5, "Pending", IF(AF10&lt;0.5, "Complete", "In Progress"))</f>
        <v>Complete</v>
      </c>
      <c r="AH10" s="22">
        <v>0</v>
      </c>
      <c r="AI10" s="22">
        <f t="shared" ref="AI10" si="53">MAX(AF10-AH10,0)</f>
        <v>0</v>
      </c>
      <c r="AJ10" s="23" t="str">
        <f>IF(SUMPRODUCT($J$31:AI$31,$J10:AI10)&lt;0.5, "Pending", IF(AI10&lt;0.5, "Complete", "In Progress"))</f>
        <v>Complete</v>
      </c>
      <c r="AK10" s="22">
        <v>0</v>
      </c>
      <c r="AL10" s="22">
        <f t="shared" ref="AL10" si="54">MAX(AI10-AK10,0)</f>
        <v>0</v>
      </c>
      <c r="AM10" s="23" t="str">
        <f>IF(SUMPRODUCT($J$31:AL$31,$J10:AL10)&lt;0.5, "Pending", IF(AL10&lt;0.5, "Complete", "In Progress"))</f>
        <v>Complete</v>
      </c>
      <c r="AN10" s="22">
        <v>0</v>
      </c>
      <c r="AO10" s="22">
        <f t="shared" ref="AO10" si="55">MAX(AL10-AN10,0)</f>
        <v>0</v>
      </c>
      <c r="AP10" s="23" t="str">
        <f>IF(SUMPRODUCT($J$31:AO$31,$J10:AO10)&lt;0.5, "Pending", IF(AO10&lt;0.5, "Complete", "In Progress"))</f>
        <v>Complete</v>
      </c>
      <c r="AQ10" s="22">
        <v>0</v>
      </c>
      <c r="AR10" s="22">
        <f t="shared" ref="AR10" si="56">MAX(AO10-AQ10,0)</f>
        <v>0</v>
      </c>
      <c r="AS10" s="23" t="str">
        <f>IF(SUMPRODUCT($J$31:AR$31,$J10:AR10)&lt;0.5, "Pending", IF(AR10&lt;0.5, "Complete", "In Progress"))</f>
        <v>Complete</v>
      </c>
      <c r="AT10" s="22">
        <v>0</v>
      </c>
      <c r="AU10" s="22">
        <f t="shared" ref="AU10" si="57">MAX(AR10-AT10,0)</f>
        <v>0</v>
      </c>
      <c r="AV10" s="23" t="str">
        <f>IF(SUMPRODUCT($J$31:AU$31,$J10:AU10)&lt;0.5, "Pending", IF(AU10&lt;0.5, "Complete", "In Progress"))</f>
        <v>Complete</v>
      </c>
      <c r="AW10" s="22">
        <v>0</v>
      </c>
      <c r="AX10" s="22">
        <f t="shared" ref="AX10" si="58">MAX(AU10-AW10,0)</f>
        <v>0</v>
      </c>
      <c r="AY10" s="23" t="str">
        <f>IF(SUMPRODUCT($J$31:AX$31,$J10:AX10)&lt;0.5, "Pending", IF(AX10&lt;0.5, "Complete", "In Progress"))</f>
        <v>Complete</v>
      </c>
      <c r="AZ10" s="22">
        <v>0</v>
      </c>
      <c r="BA10" s="22" t="e">
        <f>MAX(#REF!-AZ10,0)</f>
        <v>#REF!</v>
      </c>
      <c r="BB10" s="23" t="e">
        <f>IF(SUMPRODUCT($J$31:BA$31,$J10:BA10)&lt;0.5, "Pending", IF(BA10&lt;0.5, "Complete", "In Progress"))</f>
        <v>#REF!</v>
      </c>
      <c r="BC10" s="22">
        <v>0</v>
      </c>
      <c r="BD10" s="22" t="e">
        <f t="shared" ref="BD10" si="59">MAX(BA10-BC10,0)</f>
        <v>#REF!</v>
      </c>
      <c r="BE10" s="23" t="e">
        <f>IF(SUMPRODUCT($J$31:BD$31,$J10:BD10)&lt;0.5, "Pending", IF(BD10&lt;0.5, "Complete", "In Progress"))</f>
        <v>#REF!</v>
      </c>
      <c r="BF10" s="22">
        <v>0</v>
      </c>
      <c r="BG10" s="22" t="e">
        <f t="shared" ref="BG10" si="60">MAX(BD10-BF10,0)</f>
        <v>#REF!</v>
      </c>
      <c r="BH10" s="23" t="e">
        <f>IF(SUMPRODUCT($J$31:BG$31,$J10:BG10)&lt;0.5, "Pending", IF(BG10&lt;0.5, "Complete", "In Progress"))</f>
        <v>#REF!</v>
      </c>
      <c r="BI10" s="22">
        <v>0</v>
      </c>
      <c r="BJ10" s="22" t="e">
        <f t="shared" ref="BJ10" si="61">MAX(BG10-BI10,0)</f>
        <v>#REF!</v>
      </c>
      <c r="BK10" s="23" t="e">
        <f>IF(SUMPRODUCT($J$31:BJ$31,$J10:BJ10)&lt;0.5, "Pending", IF(BJ10&lt;0.5, "Complete", "In Progress"))</f>
        <v>#REF!</v>
      </c>
      <c r="BL10" s="22">
        <v>0</v>
      </c>
      <c r="BM10" s="22" t="e">
        <f t="shared" ref="BM10" si="62">MAX(BJ10-BL10,0)</f>
        <v>#REF!</v>
      </c>
      <c r="BN10" s="23" t="e">
        <f>IF(SUMPRODUCT($J$31:BM$31,$J10:BM10)&lt;0.5, "Pending", IF(BM10&lt;0.5, "Complete", "In Progress"))</f>
        <v>#REF!</v>
      </c>
      <c r="BO10" s="22">
        <v>0</v>
      </c>
      <c r="BP10" s="22" t="e">
        <f t="shared" ref="BP10" si="63">MAX(BM10-BO10,0)</f>
        <v>#REF!</v>
      </c>
      <c r="BQ10" s="23" t="e">
        <f>IF(SUMPRODUCT($J$31:BP$31,$J10:BP10)&lt;0.5, "Pending", IF(BP10&lt;0.5, "Complete", "In Progress"))</f>
        <v>#REF!</v>
      </c>
      <c r="BR10" s="22">
        <v>0</v>
      </c>
      <c r="BS10" s="22" t="e">
        <f t="shared" ref="BS10" si="64">MAX(BP10-BR10,0)</f>
        <v>#REF!</v>
      </c>
      <c r="BT10" s="23" t="e">
        <f>IF(SUMPRODUCT($J$31:BS$31,$J10:BS10)&lt;0.5, "Pending", IF(BS10&lt;0.5, "Complete", "In Progress"))</f>
        <v>#REF!</v>
      </c>
      <c r="BU10" s="22">
        <v>0</v>
      </c>
      <c r="BV10" s="22" t="e">
        <f t="shared" ref="BV10" si="65">MAX(BS10-BU10,0)</f>
        <v>#REF!</v>
      </c>
      <c r="BW10" s="23" t="e">
        <f>IF(SUMPRODUCT($J$31:BV$31,$J10:BV10)&lt;0.5, "Pending", IF(BV10&lt;0.5, "Complete", "In Progress"))</f>
        <v>#REF!</v>
      </c>
      <c r="BX10" s="22">
        <v>0</v>
      </c>
      <c r="BY10" s="22" t="e">
        <f t="shared" ref="BY10" si="66">MAX(BV10-BX10,0)</f>
        <v>#REF!</v>
      </c>
      <c r="BZ10" s="23" t="e">
        <f>IF(SUMPRODUCT($J$31:BY$31,$J10:BY10)&lt;0.5, "Pending", IF(BY10&lt;0.5, "Complete", "In Progress"))</f>
        <v>#REF!</v>
      </c>
      <c r="CA10" s="22">
        <v>0</v>
      </c>
      <c r="CB10" s="22" t="e">
        <f t="shared" ref="CB10" si="67">MAX(BY10-CA10,0)</f>
        <v>#REF!</v>
      </c>
      <c r="CC10" s="23" t="e">
        <f>IF(SUMPRODUCT($J$31:CB$31,$J10:CB10)&lt;0.5, "Pending", IF(CB10&lt;0.5, "Complete", "In Progress"))</f>
        <v>#REF!</v>
      </c>
      <c r="CD10" s="24"/>
      <c r="CE10" s="25">
        <f>SUMPRODUCT($H$31:AY$31,$H10:AY10)</f>
        <v>6</v>
      </c>
    </row>
    <row r="11" spans="1:83" ht="30.75" thickBot="1" x14ac:dyDescent="0.25">
      <c r="A11" s="177" t="s">
        <v>104</v>
      </c>
      <c r="B11" s="177" t="s">
        <v>121</v>
      </c>
      <c r="C11" s="184" t="s">
        <v>172</v>
      </c>
      <c r="D11" s="178">
        <v>8</v>
      </c>
      <c r="E11" s="179" t="s">
        <v>136</v>
      </c>
      <c r="F11" s="180" t="s">
        <v>137</v>
      </c>
      <c r="G11" s="19" t="e">
        <f t="shared" ca="1" si="0"/>
        <v>#REF!</v>
      </c>
      <c r="H11" s="20">
        <v>1</v>
      </c>
      <c r="I11" s="21">
        <v>12</v>
      </c>
      <c r="J11" s="22">
        <v>2</v>
      </c>
      <c r="K11" s="22">
        <f t="shared" si="1"/>
        <v>10</v>
      </c>
      <c r="L11" s="23" t="str">
        <f>IF(SUMPRODUCT($J$31:K$31,$J11:K11)&lt;0.5, "Pending", IF(K11&lt;0.5, "Complete", "In Progress"))</f>
        <v>In Progress</v>
      </c>
      <c r="M11" s="22">
        <v>2</v>
      </c>
      <c r="N11" s="22">
        <f t="shared" si="24"/>
        <v>8</v>
      </c>
      <c r="O11" s="23" t="str">
        <f>IF(SUMPRODUCT($J$31:N$31,$J11:N11)&lt;0.5, "Pending", IF(N11&lt;0.5, "Complete", "In Progress"))</f>
        <v>In Progress</v>
      </c>
      <c r="P11" s="22">
        <v>2</v>
      </c>
      <c r="Q11" s="22">
        <f t="shared" si="25"/>
        <v>6</v>
      </c>
      <c r="R11" s="23" t="str">
        <f>IF(SUMPRODUCT($J$31:Q$31,$J11:Q11)&lt;0.5, "Pending", IF(Q11&lt;0.5, "Complete", "In Progress"))</f>
        <v>In Progress</v>
      </c>
      <c r="S11" s="22">
        <v>2</v>
      </c>
      <c r="T11" s="22">
        <f t="shared" si="26"/>
        <v>4</v>
      </c>
      <c r="U11" s="23" t="str">
        <f>IF(SUMPRODUCT($J$31:T$31,$J11:T11)&lt;0.5, "Pending", IF(T11&lt;0.5, "Complete", "In Progress"))</f>
        <v>In Progress</v>
      </c>
      <c r="V11" s="22">
        <v>2</v>
      </c>
      <c r="W11" s="22">
        <f t="shared" si="27"/>
        <v>2</v>
      </c>
      <c r="X11" s="23" t="str">
        <f>IF(SUMPRODUCT($J$31:W$31,$J11:W11)&lt;0.5, "Pending", IF(W11&lt;0.5, "Complete", "In Progress"))</f>
        <v>In Progress</v>
      </c>
      <c r="Y11" s="22">
        <v>2</v>
      </c>
      <c r="Z11" s="22">
        <f t="shared" si="28"/>
        <v>0</v>
      </c>
      <c r="AA11" s="23" t="str">
        <f>IF(SUMPRODUCT($J$31:Z$31,$J11:Z11)&lt;0.5, "Pending", IF(Z11&lt;0.5, "Complete", "In Progress"))</f>
        <v>Complete</v>
      </c>
      <c r="AB11" s="22">
        <v>0</v>
      </c>
      <c r="AC11" s="22">
        <f t="shared" si="29"/>
        <v>0</v>
      </c>
      <c r="AD11" s="23" t="str">
        <f>IF(SUMPRODUCT($J$31:AC$31,$J11:AC11)&lt;0.5, "Pending", IF(AC11&lt;0.5, "Complete", "In Progress"))</f>
        <v>Complete</v>
      </c>
      <c r="AE11" s="22">
        <v>0</v>
      </c>
      <c r="AF11" s="22">
        <f t="shared" si="30"/>
        <v>0</v>
      </c>
      <c r="AG11" s="23" t="str">
        <f>IF(SUMPRODUCT($J$31:AF$31,$J11:AF11)&lt;0.5, "Pending", IF(AF11&lt;0.5, "Complete", "In Progress"))</f>
        <v>Complete</v>
      </c>
      <c r="AH11" s="22">
        <v>0</v>
      </c>
      <c r="AI11" s="22">
        <v>0</v>
      </c>
      <c r="AJ11" s="23" t="str">
        <f>IF(SUMPRODUCT($J$31:AI$31,$J11:AI11)&lt;0.5, "Pending", IF(AI11&lt;0.5, "Complete", "In Progress"))</f>
        <v>Complete</v>
      </c>
      <c r="AK11" s="22">
        <v>0</v>
      </c>
      <c r="AL11" s="22">
        <f t="shared" si="32"/>
        <v>0</v>
      </c>
      <c r="AM11" s="23" t="str">
        <f>IF(SUMPRODUCT($J$31:AL$31,$J11:AL11)&lt;0.5, "Pending", IF(AL11&lt;0.5, "Complete", "In Progress"))</f>
        <v>Complete</v>
      </c>
      <c r="AN11" s="22">
        <v>0</v>
      </c>
      <c r="AO11" s="22">
        <f t="shared" si="33"/>
        <v>0</v>
      </c>
      <c r="AP11" s="23" t="str">
        <f>IF(SUMPRODUCT($J$31:AO$31,$J11:AO11)&lt;0.5, "Pending", IF(AO11&lt;0.5, "Complete", "In Progress"))</f>
        <v>Complete</v>
      </c>
      <c r="AQ11" s="22">
        <v>0</v>
      </c>
      <c r="AR11" s="22">
        <f t="shared" si="34"/>
        <v>0</v>
      </c>
      <c r="AS11" s="23" t="str">
        <f>IF(SUMPRODUCT($J$31:AR$31,$J11:AR11)&lt;0.5, "Pending", IF(AR11&lt;0.5, "Complete", "In Progress"))</f>
        <v>Complete</v>
      </c>
      <c r="AT11" s="22">
        <v>0</v>
      </c>
      <c r="AU11" s="22">
        <f t="shared" si="35"/>
        <v>0</v>
      </c>
      <c r="AV11" s="23" t="str">
        <f>IF(SUMPRODUCT($J$31:AU$31,$J11:AU11)&lt;0.5, "Pending", IF(AU11&lt;0.5, "Complete", "In Progress"))</f>
        <v>Complete</v>
      </c>
      <c r="AW11" s="22">
        <v>0</v>
      </c>
      <c r="AX11" s="22">
        <f t="shared" si="36"/>
        <v>0</v>
      </c>
      <c r="AY11" s="23" t="str">
        <f>IF(SUMPRODUCT($J$31:AX$31,$J11:AX11)&lt;0.5, "Pending", IF(AX11&lt;0.5, "Complete", "In Progress"))</f>
        <v>Complete</v>
      </c>
      <c r="AZ11" s="22">
        <v>0</v>
      </c>
      <c r="BA11" s="22" t="e">
        <f>MAX(#REF!-AZ11,0)</f>
        <v>#REF!</v>
      </c>
      <c r="BB11" s="23" t="e">
        <f>IF(SUMPRODUCT($J$31:BA$31,$J11:BA11)&lt;0.5, "Pending", IF(BA11&lt;0.5, "Complete", "In Progress"))</f>
        <v>#REF!</v>
      </c>
      <c r="BC11" s="22">
        <v>0</v>
      </c>
      <c r="BD11" s="22" t="e">
        <f t="shared" si="37"/>
        <v>#REF!</v>
      </c>
      <c r="BE11" s="23" t="e">
        <f>IF(SUMPRODUCT($J$31:BD$31,$J11:BD11)&lt;0.5, "Pending", IF(BD11&lt;0.5, "Complete", "In Progress"))</f>
        <v>#REF!</v>
      </c>
      <c r="BF11" s="22">
        <v>0</v>
      </c>
      <c r="BG11" s="22" t="e">
        <f t="shared" si="38"/>
        <v>#REF!</v>
      </c>
      <c r="BH11" s="23" t="e">
        <f>IF(SUMPRODUCT($J$31:BG$31,$J11:BG11)&lt;0.5, "Pending", IF(BG11&lt;0.5, "Complete", "In Progress"))</f>
        <v>#REF!</v>
      </c>
      <c r="BI11" s="22">
        <v>0</v>
      </c>
      <c r="BJ11" s="22" t="e">
        <f t="shared" si="39"/>
        <v>#REF!</v>
      </c>
      <c r="BK11" s="23" t="e">
        <f>IF(SUMPRODUCT($J$31:BJ$31,$J11:BJ11)&lt;0.5, "Pending", IF(BJ11&lt;0.5, "Complete", "In Progress"))</f>
        <v>#REF!</v>
      </c>
      <c r="BL11" s="22">
        <v>0</v>
      </c>
      <c r="BM11" s="22" t="e">
        <f t="shared" si="40"/>
        <v>#REF!</v>
      </c>
      <c r="BN11" s="23" t="e">
        <f>IF(SUMPRODUCT($J$31:BM$31,$J11:BM11)&lt;0.5, "Pending", IF(BM11&lt;0.5, "Complete", "In Progress"))</f>
        <v>#REF!</v>
      </c>
      <c r="BO11" s="22">
        <v>0</v>
      </c>
      <c r="BP11" s="22" t="e">
        <f t="shared" si="41"/>
        <v>#REF!</v>
      </c>
      <c r="BQ11" s="23" t="e">
        <f>IF(SUMPRODUCT($J$31:BP$31,$J11:BP11)&lt;0.5, "Pending", IF(BP11&lt;0.5, "Complete", "In Progress"))</f>
        <v>#REF!</v>
      </c>
      <c r="BR11" s="22">
        <v>0</v>
      </c>
      <c r="BS11" s="22" t="e">
        <f t="shared" si="42"/>
        <v>#REF!</v>
      </c>
      <c r="BT11" s="23" t="e">
        <f>IF(SUMPRODUCT($J$31:BS$31,$J11:BS11)&lt;0.5, "Pending", IF(BS11&lt;0.5, "Complete", "In Progress"))</f>
        <v>#REF!</v>
      </c>
      <c r="BU11" s="22">
        <v>0</v>
      </c>
      <c r="BV11" s="22" t="e">
        <f t="shared" si="43"/>
        <v>#REF!</v>
      </c>
      <c r="BW11" s="23" t="e">
        <f>IF(SUMPRODUCT($J$31:BV$31,$J11:BV11)&lt;0.5, "Pending", IF(BV11&lt;0.5, "Complete", "In Progress"))</f>
        <v>#REF!</v>
      </c>
      <c r="BX11" s="22">
        <v>0</v>
      </c>
      <c r="BY11" s="22" t="e">
        <f t="shared" si="44"/>
        <v>#REF!</v>
      </c>
      <c r="BZ11" s="23" t="e">
        <f>IF(SUMPRODUCT($J$31:BY$31,$J11:BY11)&lt;0.5, "Pending", IF(BY11&lt;0.5, "Complete", "In Progress"))</f>
        <v>#REF!</v>
      </c>
      <c r="CA11" s="22">
        <v>0</v>
      </c>
      <c r="CB11" s="22" t="e">
        <f t="shared" si="45"/>
        <v>#REF!</v>
      </c>
      <c r="CC11" s="23" t="e">
        <f>IF(SUMPRODUCT($J$31:CB$31,$J11:CB11)&lt;0.5, "Pending", IF(CB11&lt;0.5, "Complete", "In Progress"))</f>
        <v>#REF!</v>
      </c>
      <c r="CD11" s="24"/>
      <c r="CE11" s="25">
        <f>SUMPRODUCT($H$31:AY$31,$H11:AY11)</f>
        <v>12</v>
      </c>
    </row>
    <row r="12" spans="1:83" ht="45.75" thickBot="1" x14ac:dyDescent="0.25">
      <c r="A12" s="177" t="s">
        <v>104</v>
      </c>
      <c r="B12" s="177" t="s">
        <v>121</v>
      </c>
      <c r="C12" s="184" t="s">
        <v>172</v>
      </c>
      <c r="D12" s="178">
        <v>9</v>
      </c>
      <c r="E12" s="179" t="s">
        <v>159</v>
      </c>
      <c r="F12" s="180" t="s">
        <v>137</v>
      </c>
      <c r="G12" s="19" t="e">
        <f t="shared" ca="1" si="0"/>
        <v>#REF!</v>
      </c>
      <c r="H12" s="20">
        <v>1</v>
      </c>
      <c r="I12" s="21">
        <v>8</v>
      </c>
      <c r="J12" s="22">
        <v>0</v>
      </c>
      <c r="K12" s="22">
        <f t="shared" si="1"/>
        <v>8</v>
      </c>
      <c r="L12" s="23" t="str">
        <f>IF(SUMPRODUCT($J$31:K$31,$J12:K12)&lt;0.5, "Pending", IF(K12&lt;0.5, "Complete", "In Progress"))</f>
        <v>Pending</v>
      </c>
      <c r="M12" s="22">
        <v>0</v>
      </c>
      <c r="N12" s="22">
        <f t="shared" si="24"/>
        <v>8</v>
      </c>
      <c r="O12" s="23" t="str">
        <f>IF(SUMPRODUCT($J$31:N$31,$J12:N12)&lt;0.5, "Pending", IF(N12&lt;0.5, "Complete", "In Progress"))</f>
        <v>Pending</v>
      </c>
      <c r="P12" s="22">
        <v>0</v>
      </c>
      <c r="Q12" s="22">
        <f t="shared" si="25"/>
        <v>8</v>
      </c>
      <c r="R12" s="23" t="str">
        <f>IF(SUMPRODUCT($J$31:Q$31,$J12:Q12)&lt;0.5, "Pending", IF(Q12&lt;0.5, "Complete", "In Progress"))</f>
        <v>Pending</v>
      </c>
      <c r="S12" s="22">
        <v>0</v>
      </c>
      <c r="T12" s="22">
        <f t="shared" si="26"/>
        <v>8</v>
      </c>
      <c r="U12" s="23" t="str">
        <f>IF(SUMPRODUCT($J$31:T$31,$J12:T12)&lt;0.5, "Pending", IF(T12&lt;0.5, "Complete", "In Progress"))</f>
        <v>Pending</v>
      </c>
      <c r="V12" s="22">
        <v>0</v>
      </c>
      <c r="W12" s="22">
        <f t="shared" si="27"/>
        <v>8</v>
      </c>
      <c r="X12" s="23" t="str">
        <f>IF(SUMPRODUCT($J$31:W$31,$J12:W12)&lt;0.5, "Pending", IF(W12&lt;0.5, "Complete", "In Progress"))</f>
        <v>Pending</v>
      </c>
      <c r="Y12" s="22">
        <v>0</v>
      </c>
      <c r="Z12" s="22">
        <f t="shared" si="28"/>
        <v>8</v>
      </c>
      <c r="AA12" s="23" t="str">
        <f>IF(SUMPRODUCT($J$31:Z$31,$J12:Z12)&lt;0.5, "Pending", IF(Z12&lt;0.5, "Complete", "In Progress"))</f>
        <v>Pending</v>
      </c>
      <c r="AB12" s="22">
        <v>2</v>
      </c>
      <c r="AC12" s="22">
        <f t="shared" si="29"/>
        <v>6</v>
      </c>
      <c r="AD12" s="23" t="str">
        <f>IF(SUMPRODUCT($J$31:AC$31,$J12:AC12)&lt;0.5, "Pending", IF(AC12&lt;0.5, "Complete", "In Progress"))</f>
        <v>In Progress</v>
      </c>
      <c r="AE12" s="22">
        <v>2</v>
      </c>
      <c r="AF12" s="22">
        <f t="shared" si="30"/>
        <v>4</v>
      </c>
      <c r="AG12" s="23" t="str">
        <f>IF(SUMPRODUCT($J$31:AF$31,$J12:AF12)&lt;0.5, "Pending", IF(AF12&lt;0.5, "Complete", "In Progress"))</f>
        <v>In Progress</v>
      </c>
      <c r="AH12" s="22">
        <v>2</v>
      </c>
      <c r="AI12" s="22">
        <v>2</v>
      </c>
      <c r="AJ12" s="23" t="str">
        <f>IF(SUMPRODUCT($J$31:AI$31,$J12:AI12)&lt;0.5, "Pending", IF(AI12&lt;0.5, "Complete", "In Progress"))</f>
        <v>In Progress</v>
      </c>
      <c r="AK12" s="22">
        <v>2</v>
      </c>
      <c r="AL12" s="22">
        <f t="shared" si="32"/>
        <v>0</v>
      </c>
      <c r="AM12" s="23" t="str">
        <f>IF(SUMPRODUCT($J$31:AL$31,$J12:AL12)&lt;0.5, "Pending", IF(AL12&lt;0.5, "Complete", "In Progress"))</f>
        <v>Complete</v>
      </c>
      <c r="AN12" s="22">
        <v>0</v>
      </c>
      <c r="AO12" s="22">
        <f t="shared" si="33"/>
        <v>0</v>
      </c>
      <c r="AP12" s="23" t="str">
        <f>IF(SUMPRODUCT($J$31:AO$31,$J12:AO12)&lt;0.5, "Pending", IF(AO12&lt;0.5, "Complete", "In Progress"))</f>
        <v>Complete</v>
      </c>
      <c r="AQ12" s="22">
        <v>0</v>
      </c>
      <c r="AR12" s="22">
        <f t="shared" si="34"/>
        <v>0</v>
      </c>
      <c r="AS12" s="23" t="str">
        <f>IF(SUMPRODUCT($J$31:AR$31,$J12:AR12)&lt;0.5, "Pending", IF(AR12&lt;0.5, "Complete", "In Progress"))</f>
        <v>Complete</v>
      </c>
      <c r="AT12" s="22">
        <v>0</v>
      </c>
      <c r="AU12" s="22">
        <f t="shared" si="35"/>
        <v>0</v>
      </c>
      <c r="AV12" s="23" t="str">
        <f>IF(SUMPRODUCT($J$31:AU$31,$J12:AU12)&lt;0.5, "Pending", IF(AU12&lt;0.5, "Complete", "In Progress"))</f>
        <v>Complete</v>
      </c>
      <c r="AW12" s="22">
        <v>0</v>
      </c>
      <c r="AX12" s="22">
        <f t="shared" si="36"/>
        <v>0</v>
      </c>
      <c r="AY12" s="23" t="str">
        <f>IF(SUMPRODUCT($J$31:AX$31,$J12:AX12)&lt;0.5, "Pending", IF(AX12&lt;0.5, "Complete", "In Progress"))</f>
        <v>Complete</v>
      </c>
      <c r="AZ12" s="22">
        <v>0</v>
      </c>
      <c r="BA12" s="22" t="e">
        <f>MAX(#REF!-AZ12,0)</f>
        <v>#REF!</v>
      </c>
      <c r="BB12" s="23" t="e">
        <f>IF(SUMPRODUCT($J$31:BA$31,$J12:BA12)&lt;0.5, "Pending", IF(BA12&lt;0.5, "Complete", "In Progress"))</f>
        <v>#REF!</v>
      </c>
      <c r="BC12" s="22">
        <v>0</v>
      </c>
      <c r="BD12" s="22" t="e">
        <f t="shared" si="37"/>
        <v>#REF!</v>
      </c>
      <c r="BE12" s="23" t="e">
        <f>IF(SUMPRODUCT($J$31:BD$31,$J12:BD12)&lt;0.5, "Pending", IF(BD12&lt;0.5, "Complete", "In Progress"))</f>
        <v>#REF!</v>
      </c>
      <c r="BF12" s="22">
        <v>0</v>
      </c>
      <c r="BG12" s="22" t="e">
        <f t="shared" si="38"/>
        <v>#REF!</v>
      </c>
      <c r="BH12" s="23" t="e">
        <f>IF(SUMPRODUCT($J$31:BG$31,$J12:BG12)&lt;0.5, "Pending", IF(BG12&lt;0.5, "Complete", "In Progress"))</f>
        <v>#REF!</v>
      </c>
      <c r="BI12" s="22">
        <v>0</v>
      </c>
      <c r="BJ12" s="22" t="e">
        <f t="shared" si="39"/>
        <v>#REF!</v>
      </c>
      <c r="BK12" s="23" t="e">
        <f>IF(SUMPRODUCT($J$31:BJ$31,$J12:BJ12)&lt;0.5, "Pending", IF(BJ12&lt;0.5, "Complete", "In Progress"))</f>
        <v>#REF!</v>
      </c>
      <c r="BL12" s="22">
        <v>0</v>
      </c>
      <c r="BM12" s="22" t="e">
        <f t="shared" si="40"/>
        <v>#REF!</v>
      </c>
      <c r="BN12" s="23" t="e">
        <f>IF(SUMPRODUCT($J$31:BM$31,$J12:BM12)&lt;0.5, "Pending", IF(BM12&lt;0.5, "Complete", "In Progress"))</f>
        <v>#REF!</v>
      </c>
      <c r="BO12" s="22">
        <v>0</v>
      </c>
      <c r="BP12" s="22" t="e">
        <f t="shared" si="41"/>
        <v>#REF!</v>
      </c>
      <c r="BQ12" s="23" t="e">
        <f>IF(SUMPRODUCT($J$31:BP$31,$J12:BP12)&lt;0.5, "Pending", IF(BP12&lt;0.5, "Complete", "In Progress"))</f>
        <v>#REF!</v>
      </c>
      <c r="BR12" s="22">
        <v>0</v>
      </c>
      <c r="BS12" s="22" t="e">
        <f t="shared" si="42"/>
        <v>#REF!</v>
      </c>
      <c r="BT12" s="23" t="e">
        <f>IF(SUMPRODUCT($J$31:BS$31,$J12:BS12)&lt;0.5, "Pending", IF(BS12&lt;0.5, "Complete", "In Progress"))</f>
        <v>#REF!</v>
      </c>
      <c r="BU12" s="22">
        <v>0</v>
      </c>
      <c r="BV12" s="22" t="e">
        <f t="shared" si="43"/>
        <v>#REF!</v>
      </c>
      <c r="BW12" s="23" t="e">
        <f>IF(SUMPRODUCT($J$31:BV$31,$J12:BV12)&lt;0.5, "Pending", IF(BV12&lt;0.5, "Complete", "In Progress"))</f>
        <v>#REF!</v>
      </c>
      <c r="BX12" s="22">
        <v>0</v>
      </c>
      <c r="BY12" s="22" t="e">
        <f t="shared" si="44"/>
        <v>#REF!</v>
      </c>
      <c r="BZ12" s="23" t="e">
        <f>IF(SUMPRODUCT($J$31:BY$31,$J12:BY12)&lt;0.5, "Pending", IF(BY12&lt;0.5, "Complete", "In Progress"))</f>
        <v>#REF!</v>
      </c>
      <c r="CA12" s="22">
        <v>0</v>
      </c>
      <c r="CB12" s="22" t="e">
        <f t="shared" si="45"/>
        <v>#REF!</v>
      </c>
      <c r="CC12" s="23" t="e">
        <f>IF(SUMPRODUCT($J$31:CB$31,$J12:CB12)&lt;0.5, "Pending", IF(CB12&lt;0.5, "Complete", "In Progress"))</f>
        <v>#REF!</v>
      </c>
      <c r="CD12" s="24"/>
      <c r="CE12" s="25">
        <f>SUMPRODUCT($H$31:AY$31,$H12:AY12)</f>
        <v>8</v>
      </c>
    </row>
    <row r="13" spans="1:83" ht="15.75" thickBot="1" x14ac:dyDescent="0.25">
      <c r="A13" s="177" t="s">
        <v>104</v>
      </c>
      <c r="B13" s="177" t="s">
        <v>115</v>
      </c>
      <c r="C13" s="189" t="s">
        <v>175</v>
      </c>
      <c r="D13" s="178">
        <v>10</v>
      </c>
      <c r="E13" s="179" t="s">
        <v>160</v>
      </c>
      <c r="F13" s="180" t="s">
        <v>139</v>
      </c>
      <c r="G13" s="19" t="e">
        <f t="shared" ca="1" si="0"/>
        <v>#REF!</v>
      </c>
      <c r="H13" s="20">
        <v>1</v>
      </c>
      <c r="I13" s="21">
        <v>6</v>
      </c>
      <c r="J13" s="22">
        <v>0</v>
      </c>
      <c r="K13" s="22">
        <f t="shared" si="1"/>
        <v>6</v>
      </c>
      <c r="L13" s="23" t="str">
        <f>IF(SUMPRODUCT($J$31:K$31,$J13:K13)&lt;0.5, "Pending", IF(K13&lt;0.5, "Complete", "In Progress"))</f>
        <v>Pending</v>
      </c>
      <c r="M13" s="22">
        <v>0</v>
      </c>
      <c r="N13" s="22">
        <f t="shared" si="24"/>
        <v>6</v>
      </c>
      <c r="O13" s="23" t="str">
        <f>IF(SUMPRODUCT($J$31:N$31,$J13:N13)&lt;0.5, "Pending", IF(N13&lt;0.5, "Complete", "In Progress"))</f>
        <v>Pending</v>
      </c>
      <c r="P13" s="22">
        <v>0</v>
      </c>
      <c r="Q13" s="22">
        <f t="shared" si="25"/>
        <v>6</v>
      </c>
      <c r="R13" s="23" t="str">
        <f>IF(SUMPRODUCT($J$31:Q$31,$J13:Q13)&lt;0.5, "Pending", IF(Q13&lt;0.5, "Complete", "In Progress"))</f>
        <v>Pending</v>
      </c>
      <c r="S13" s="22">
        <v>1</v>
      </c>
      <c r="T13" s="22">
        <f t="shared" si="26"/>
        <v>5</v>
      </c>
      <c r="U13" s="23" t="str">
        <f>IF(SUMPRODUCT($J$31:T$31,$J13:T13)&lt;0.5, "Pending", IF(T13&lt;0.5, "Complete", "In Progress"))</f>
        <v>In Progress</v>
      </c>
      <c r="V13" s="22">
        <v>0</v>
      </c>
      <c r="W13" s="22">
        <f t="shared" si="27"/>
        <v>5</v>
      </c>
      <c r="X13" s="23" t="str">
        <f>IF(SUMPRODUCT($J$31:W$31,$J13:W13)&lt;0.5, "Pending", IF(W13&lt;0.5, "Complete", "In Progress"))</f>
        <v>In Progress</v>
      </c>
      <c r="Y13" s="22">
        <v>1</v>
      </c>
      <c r="Z13" s="22">
        <f t="shared" si="28"/>
        <v>4</v>
      </c>
      <c r="AA13" s="23" t="str">
        <f>IF(SUMPRODUCT($J$31:Z$31,$J13:Z13)&lt;0.5, "Pending", IF(Z13&lt;0.5, "Complete", "In Progress"))</f>
        <v>In Progress</v>
      </c>
      <c r="AB13" s="22">
        <v>0</v>
      </c>
      <c r="AC13" s="22">
        <f t="shared" si="29"/>
        <v>4</v>
      </c>
      <c r="AD13" s="23" t="str">
        <f>IF(SUMPRODUCT($J$31:AC$31,$J13:AC13)&lt;0.5, "Pending", IF(AC13&lt;0.5, "Complete", "In Progress"))</f>
        <v>In Progress</v>
      </c>
      <c r="AE13" s="22">
        <v>0</v>
      </c>
      <c r="AF13" s="22">
        <f t="shared" si="30"/>
        <v>4</v>
      </c>
      <c r="AG13" s="23" t="str">
        <f>IF(SUMPRODUCT($J$31:AF$31,$J13:AF13)&lt;0.5, "Pending", IF(AF13&lt;0.5, "Complete", "In Progress"))</f>
        <v>In Progress</v>
      </c>
      <c r="AH13" s="22">
        <v>2</v>
      </c>
      <c r="AI13" s="22">
        <f t="shared" si="31"/>
        <v>2</v>
      </c>
      <c r="AJ13" s="23" t="str">
        <f>IF(SUMPRODUCT($J$31:AI$31,$J13:AI13)&lt;0.5, "Pending", IF(AI13&lt;0.5, "Complete", "In Progress"))</f>
        <v>In Progress</v>
      </c>
      <c r="AK13" s="22">
        <v>2</v>
      </c>
      <c r="AL13" s="22">
        <f t="shared" si="32"/>
        <v>0</v>
      </c>
      <c r="AM13" s="23" t="str">
        <f>IF(SUMPRODUCT($J$31:AL$31,$J13:AL13)&lt;0.5, "Pending", IF(AL13&lt;0.5, "Complete", "In Progress"))</f>
        <v>Complete</v>
      </c>
      <c r="AN13" s="22">
        <v>0</v>
      </c>
      <c r="AO13" s="22">
        <f t="shared" si="33"/>
        <v>0</v>
      </c>
      <c r="AP13" s="23" t="str">
        <f>IF(SUMPRODUCT($J$31:AO$31,$J13:AO13)&lt;0.5, "Pending", IF(AO13&lt;0.5, "Complete", "In Progress"))</f>
        <v>Complete</v>
      </c>
      <c r="AQ13" s="22">
        <v>0</v>
      </c>
      <c r="AR13" s="22">
        <f t="shared" si="34"/>
        <v>0</v>
      </c>
      <c r="AS13" s="23" t="str">
        <f>IF(SUMPRODUCT($J$31:AR$31,$J13:AR13)&lt;0.5, "Pending", IF(AR13&lt;0.5, "Complete", "In Progress"))</f>
        <v>Complete</v>
      </c>
      <c r="AT13" s="22">
        <v>0</v>
      </c>
      <c r="AU13" s="22">
        <f t="shared" si="35"/>
        <v>0</v>
      </c>
      <c r="AV13" s="23" t="str">
        <f>IF(SUMPRODUCT($J$31:AU$31,$J13:AU13)&lt;0.5, "Pending", IF(AU13&lt;0.5, "Complete", "In Progress"))</f>
        <v>Complete</v>
      </c>
      <c r="AW13" s="22">
        <v>0</v>
      </c>
      <c r="AX13" s="22">
        <f t="shared" si="36"/>
        <v>0</v>
      </c>
      <c r="AY13" s="23" t="str">
        <f>IF(SUMPRODUCT($J$31:AX$31,$J13:AX13)&lt;0.5, "Pending", IF(AX13&lt;0.5, "Complete", "In Progress"))</f>
        <v>Complete</v>
      </c>
      <c r="AZ13" s="22">
        <v>0</v>
      </c>
      <c r="BA13" s="22" t="e">
        <f>MAX(#REF!-AZ13,0)</f>
        <v>#REF!</v>
      </c>
      <c r="BB13" s="23" t="e">
        <f>IF(SUMPRODUCT($J$31:BA$31,$J13:BA13)&lt;0.5, "Pending", IF(BA13&lt;0.5, "Complete", "In Progress"))</f>
        <v>#REF!</v>
      </c>
      <c r="BC13" s="22">
        <v>0</v>
      </c>
      <c r="BD13" s="22" t="e">
        <f t="shared" si="37"/>
        <v>#REF!</v>
      </c>
      <c r="BE13" s="23" t="e">
        <f>IF(SUMPRODUCT($J$31:BD$31,$J13:BD13)&lt;0.5, "Pending", IF(BD13&lt;0.5, "Complete", "In Progress"))</f>
        <v>#REF!</v>
      </c>
      <c r="BF13" s="22">
        <v>0</v>
      </c>
      <c r="BG13" s="22" t="e">
        <f t="shared" si="38"/>
        <v>#REF!</v>
      </c>
      <c r="BH13" s="23" t="e">
        <f>IF(SUMPRODUCT($J$31:BG$31,$J13:BG13)&lt;0.5, "Pending", IF(BG13&lt;0.5, "Complete", "In Progress"))</f>
        <v>#REF!</v>
      </c>
      <c r="BI13" s="22">
        <v>0</v>
      </c>
      <c r="BJ13" s="22" t="e">
        <f t="shared" si="39"/>
        <v>#REF!</v>
      </c>
      <c r="BK13" s="23" t="e">
        <f>IF(SUMPRODUCT($J$31:BJ$31,$J13:BJ13)&lt;0.5, "Pending", IF(BJ13&lt;0.5, "Complete", "In Progress"))</f>
        <v>#REF!</v>
      </c>
      <c r="BL13" s="22">
        <v>0</v>
      </c>
      <c r="BM13" s="22" t="e">
        <f t="shared" si="40"/>
        <v>#REF!</v>
      </c>
      <c r="BN13" s="23" t="e">
        <f>IF(SUMPRODUCT($J$31:BM$31,$J13:BM13)&lt;0.5, "Pending", IF(BM13&lt;0.5, "Complete", "In Progress"))</f>
        <v>#REF!</v>
      </c>
      <c r="BO13" s="22">
        <v>0</v>
      </c>
      <c r="BP13" s="22" t="e">
        <f t="shared" si="41"/>
        <v>#REF!</v>
      </c>
      <c r="BQ13" s="23" t="e">
        <f>IF(SUMPRODUCT($J$31:BP$31,$J13:BP13)&lt;0.5, "Pending", IF(BP13&lt;0.5, "Complete", "In Progress"))</f>
        <v>#REF!</v>
      </c>
      <c r="BR13" s="22">
        <v>0</v>
      </c>
      <c r="BS13" s="22" t="e">
        <f t="shared" si="42"/>
        <v>#REF!</v>
      </c>
      <c r="BT13" s="23" t="e">
        <f>IF(SUMPRODUCT($J$31:BS$31,$J13:BS13)&lt;0.5, "Pending", IF(BS13&lt;0.5, "Complete", "In Progress"))</f>
        <v>#REF!</v>
      </c>
      <c r="BU13" s="22">
        <v>0</v>
      </c>
      <c r="BV13" s="22" t="e">
        <f t="shared" si="43"/>
        <v>#REF!</v>
      </c>
      <c r="BW13" s="23" t="e">
        <f>IF(SUMPRODUCT($J$31:BV$31,$J13:BV13)&lt;0.5, "Pending", IF(BV13&lt;0.5, "Complete", "In Progress"))</f>
        <v>#REF!</v>
      </c>
      <c r="BX13" s="22">
        <v>0</v>
      </c>
      <c r="BY13" s="22" t="e">
        <f t="shared" si="44"/>
        <v>#REF!</v>
      </c>
      <c r="BZ13" s="23" t="e">
        <f>IF(SUMPRODUCT($J$31:BY$31,$J13:BY13)&lt;0.5, "Pending", IF(BY13&lt;0.5, "Complete", "In Progress"))</f>
        <v>#REF!</v>
      </c>
      <c r="CA13" s="22">
        <v>0</v>
      </c>
      <c r="CB13" s="22" t="e">
        <f t="shared" si="45"/>
        <v>#REF!</v>
      </c>
      <c r="CC13" s="23" t="e">
        <f>IF(SUMPRODUCT($J$31:CB$31,$J13:CB13)&lt;0.5, "Pending", IF(CB13&lt;0.5, "Complete", "In Progress"))</f>
        <v>#REF!</v>
      </c>
      <c r="CD13" s="24"/>
      <c r="CE13" s="25">
        <f>SUMPRODUCT($H$31:AY$31,$H13:AY13)</f>
        <v>6</v>
      </c>
    </row>
    <row r="14" spans="1:83" ht="30.75" thickBot="1" x14ac:dyDescent="0.25">
      <c r="A14" s="177" t="s">
        <v>104</v>
      </c>
      <c r="B14" s="177" t="s">
        <v>115</v>
      </c>
      <c r="C14" s="186" t="s">
        <v>173</v>
      </c>
      <c r="D14" s="178">
        <v>10</v>
      </c>
      <c r="E14" s="179" t="s">
        <v>161</v>
      </c>
      <c r="F14" s="180" t="s">
        <v>139</v>
      </c>
      <c r="G14" s="19" t="e">
        <f t="shared" ca="1" si="0"/>
        <v>#REF!</v>
      </c>
      <c r="H14" s="20">
        <v>1</v>
      </c>
      <c r="I14" s="21">
        <v>7</v>
      </c>
      <c r="J14" s="22">
        <v>2</v>
      </c>
      <c r="K14" s="22">
        <f t="shared" si="1"/>
        <v>5</v>
      </c>
      <c r="L14" s="23" t="str">
        <f>IF(SUMPRODUCT($J$31:K$31,$J14:K14)&lt;0.5, "Pending", IF(K14&lt;0.5, "Complete", "In Progress"))</f>
        <v>In Progress</v>
      </c>
      <c r="M14" s="22">
        <v>2</v>
      </c>
      <c r="N14" s="22">
        <f t="shared" si="24"/>
        <v>3</v>
      </c>
      <c r="O14" s="23" t="str">
        <f>IF(SUMPRODUCT($J$31:N$31,$J14:N14)&lt;0.5, "Pending", IF(N14&lt;0.5, "Complete", "In Progress"))</f>
        <v>In Progress</v>
      </c>
      <c r="P14" s="22">
        <v>2</v>
      </c>
      <c r="Q14" s="22">
        <f t="shared" si="25"/>
        <v>1</v>
      </c>
      <c r="R14" s="23" t="str">
        <f>IF(SUMPRODUCT($J$31:Q$31,$J14:Q14)&lt;0.5, "Pending", IF(Q14&lt;0.5, "Complete", "In Progress"))</f>
        <v>In Progress</v>
      </c>
      <c r="S14" s="22">
        <v>1</v>
      </c>
      <c r="T14" s="22">
        <f t="shared" si="26"/>
        <v>0</v>
      </c>
      <c r="U14" s="23" t="str">
        <f>IF(SUMPRODUCT($J$31:T$31,$J14:T14)&lt;0.5, "Pending", IF(T14&lt;0.5, "Complete", "In Progress"))</f>
        <v>Complete</v>
      </c>
      <c r="V14" s="22">
        <v>0</v>
      </c>
      <c r="W14" s="22">
        <f t="shared" si="27"/>
        <v>0</v>
      </c>
      <c r="X14" s="23" t="str">
        <f>IF(SUMPRODUCT($J$31:W$31,$J14:W14)&lt;0.5, "Pending", IF(W14&lt;0.5, "Complete", "In Progress"))</f>
        <v>Complete</v>
      </c>
      <c r="Y14" s="22">
        <v>0</v>
      </c>
      <c r="Z14" s="22">
        <f t="shared" si="28"/>
        <v>0</v>
      </c>
      <c r="AA14" s="23" t="str">
        <f>IF(SUMPRODUCT($J$31:Z$31,$J14:Z14)&lt;0.5, "Pending", IF(Z14&lt;0.5, "Complete", "In Progress"))</f>
        <v>Complete</v>
      </c>
      <c r="AB14" s="22">
        <v>0</v>
      </c>
      <c r="AC14" s="22">
        <f t="shared" si="29"/>
        <v>0</v>
      </c>
      <c r="AD14" s="23" t="str">
        <f>IF(SUMPRODUCT($J$31:AC$31,$J14:AC14)&lt;0.5, "Pending", IF(AC14&lt;0.5, "Complete", "In Progress"))</f>
        <v>Complete</v>
      </c>
      <c r="AE14" s="22">
        <v>0</v>
      </c>
      <c r="AF14" s="22">
        <f t="shared" si="30"/>
        <v>0</v>
      </c>
      <c r="AG14" s="23" t="str">
        <f>IF(SUMPRODUCT($J$31:AF$31,$J14:AF14)&lt;0.5, "Pending", IF(AF14&lt;0.5, "Complete", "In Progress"))</f>
        <v>Complete</v>
      </c>
      <c r="AH14" s="22">
        <v>0</v>
      </c>
      <c r="AI14" s="22">
        <f t="shared" si="31"/>
        <v>0</v>
      </c>
      <c r="AJ14" s="23" t="str">
        <f>IF(SUMPRODUCT($J$31:AI$31,$J14:AI14)&lt;0.5, "Pending", IF(AI14&lt;0.5, "Complete", "In Progress"))</f>
        <v>Complete</v>
      </c>
      <c r="AK14" s="22">
        <v>0</v>
      </c>
      <c r="AL14" s="22">
        <f t="shared" si="32"/>
        <v>0</v>
      </c>
      <c r="AM14" s="23" t="str">
        <f>IF(SUMPRODUCT($J$31:AL$31,$J14:AL14)&lt;0.5, "Pending", IF(AL14&lt;0.5, "Complete", "In Progress"))</f>
        <v>Complete</v>
      </c>
      <c r="AN14" s="22">
        <v>0</v>
      </c>
      <c r="AO14" s="22">
        <f t="shared" si="33"/>
        <v>0</v>
      </c>
      <c r="AP14" s="23" t="str">
        <f>IF(SUMPRODUCT($J$31:AO$31,$J14:AO14)&lt;0.5, "Pending", IF(AO14&lt;0.5, "Complete", "In Progress"))</f>
        <v>Complete</v>
      </c>
      <c r="AQ14" s="22">
        <v>0</v>
      </c>
      <c r="AR14" s="22">
        <f t="shared" si="34"/>
        <v>0</v>
      </c>
      <c r="AS14" s="23" t="str">
        <f>IF(SUMPRODUCT($J$31:AR$31,$J14:AR14)&lt;0.5, "Pending", IF(AR14&lt;0.5, "Complete", "In Progress"))</f>
        <v>Complete</v>
      </c>
      <c r="AT14" s="22">
        <v>0</v>
      </c>
      <c r="AU14" s="22">
        <f t="shared" si="35"/>
        <v>0</v>
      </c>
      <c r="AV14" s="23" t="str">
        <f>IF(SUMPRODUCT($J$31:AU$31,$J14:AU14)&lt;0.5, "Pending", IF(AU14&lt;0.5, "Complete", "In Progress"))</f>
        <v>Complete</v>
      </c>
      <c r="AW14" s="22">
        <v>0</v>
      </c>
      <c r="AX14" s="22">
        <f t="shared" si="36"/>
        <v>0</v>
      </c>
      <c r="AY14" s="23" t="str">
        <f>IF(SUMPRODUCT($J$31:AX$31,$J14:AX14)&lt;0.5, "Pending", IF(AX14&lt;0.5, "Complete", "In Progress"))</f>
        <v>Complete</v>
      </c>
      <c r="AZ14" s="22">
        <v>0</v>
      </c>
      <c r="BA14" s="22" t="e">
        <f>MAX(#REF!-AZ14,0)</f>
        <v>#REF!</v>
      </c>
      <c r="BB14" s="23" t="e">
        <f>IF(SUMPRODUCT($J$31:BA$31,$J14:BA14)&lt;0.5, "Pending", IF(BA14&lt;0.5, "Complete", "In Progress"))</f>
        <v>#REF!</v>
      </c>
      <c r="BC14" s="22">
        <v>0</v>
      </c>
      <c r="BD14" s="22" t="e">
        <f t="shared" si="37"/>
        <v>#REF!</v>
      </c>
      <c r="BE14" s="23" t="e">
        <f>IF(SUMPRODUCT($J$31:BD$31,$J14:BD14)&lt;0.5, "Pending", IF(BD14&lt;0.5, "Complete", "In Progress"))</f>
        <v>#REF!</v>
      </c>
      <c r="BF14" s="22">
        <v>0</v>
      </c>
      <c r="BG14" s="22" t="e">
        <f t="shared" si="38"/>
        <v>#REF!</v>
      </c>
      <c r="BH14" s="23" t="e">
        <f>IF(SUMPRODUCT($J$31:BG$31,$J14:BG14)&lt;0.5, "Pending", IF(BG14&lt;0.5, "Complete", "In Progress"))</f>
        <v>#REF!</v>
      </c>
      <c r="BI14" s="22">
        <v>0</v>
      </c>
      <c r="BJ14" s="22" t="e">
        <f t="shared" si="39"/>
        <v>#REF!</v>
      </c>
      <c r="BK14" s="23" t="e">
        <f>IF(SUMPRODUCT($J$31:BJ$31,$J14:BJ14)&lt;0.5, "Pending", IF(BJ14&lt;0.5, "Complete", "In Progress"))</f>
        <v>#REF!</v>
      </c>
      <c r="BL14" s="22">
        <v>0</v>
      </c>
      <c r="BM14" s="22" t="e">
        <f t="shared" si="40"/>
        <v>#REF!</v>
      </c>
      <c r="BN14" s="23" t="e">
        <f>IF(SUMPRODUCT($J$31:BM$31,$J14:BM14)&lt;0.5, "Pending", IF(BM14&lt;0.5, "Complete", "In Progress"))</f>
        <v>#REF!</v>
      </c>
      <c r="BO14" s="22">
        <v>0</v>
      </c>
      <c r="BP14" s="22" t="e">
        <f t="shared" si="41"/>
        <v>#REF!</v>
      </c>
      <c r="BQ14" s="23" t="e">
        <f>IF(SUMPRODUCT($J$31:BP$31,$J14:BP14)&lt;0.5, "Pending", IF(BP14&lt;0.5, "Complete", "In Progress"))</f>
        <v>#REF!</v>
      </c>
      <c r="BR14" s="22">
        <v>0</v>
      </c>
      <c r="BS14" s="22" t="e">
        <f t="shared" si="42"/>
        <v>#REF!</v>
      </c>
      <c r="BT14" s="23" t="e">
        <f>IF(SUMPRODUCT($J$31:BS$31,$J14:BS14)&lt;0.5, "Pending", IF(BS14&lt;0.5, "Complete", "In Progress"))</f>
        <v>#REF!</v>
      </c>
      <c r="BU14" s="22">
        <v>0</v>
      </c>
      <c r="BV14" s="22" t="e">
        <f t="shared" si="43"/>
        <v>#REF!</v>
      </c>
      <c r="BW14" s="23" t="e">
        <f>IF(SUMPRODUCT($J$31:BV$31,$J14:BV14)&lt;0.5, "Pending", IF(BV14&lt;0.5, "Complete", "In Progress"))</f>
        <v>#REF!</v>
      </c>
      <c r="BX14" s="22">
        <v>0</v>
      </c>
      <c r="BY14" s="22" t="e">
        <f t="shared" si="44"/>
        <v>#REF!</v>
      </c>
      <c r="BZ14" s="23" t="e">
        <f>IF(SUMPRODUCT($J$31:BY$31,$J14:BY14)&lt;0.5, "Pending", IF(BY14&lt;0.5, "Complete", "In Progress"))</f>
        <v>#REF!</v>
      </c>
      <c r="CA14" s="22">
        <v>0</v>
      </c>
      <c r="CB14" s="22" t="e">
        <f t="shared" si="45"/>
        <v>#REF!</v>
      </c>
      <c r="CC14" s="23" t="e">
        <f>IF(SUMPRODUCT($J$31:CB$31,$J14:CB14)&lt;0.5, "Pending", IF(CB14&lt;0.5, "Complete", "In Progress"))</f>
        <v>#REF!</v>
      </c>
      <c r="CD14" s="24"/>
      <c r="CE14" s="25">
        <f>SUMPRODUCT($H$31:AY$31,$H14:AY14)</f>
        <v>7</v>
      </c>
    </row>
    <row r="15" spans="1:83" ht="15.75" thickBot="1" x14ac:dyDescent="0.25">
      <c r="A15" s="177" t="s">
        <v>104</v>
      </c>
      <c r="B15" s="177" t="s">
        <v>121</v>
      </c>
      <c r="C15" s="185" t="s">
        <v>174</v>
      </c>
      <c r="D15" s="178">
        <v>11</v>
      </c>
      <c r="E15" s="179" t="s">
        <v>150</v>
      </c>
      <c r="F15" s="180" t="s">
        <v>143</v>
      </c>
      <c r="G15" s="19" t="e">
        <f t="shared" ca="1" si="0"/>
        <v>#REF!</v>
      </c>
      <c r="H15" s="20">
        <v>1</v>
      </c>
      <c r="I15" s="21">
        <v>7</v>
      </c>
      <c r="J15" s="22">
        <v>0</v>
      </c>
      <c r="K15" s="22">
        <f t="shared" si="1"/>
        <v>7</v>
      </c>
      <c r="L15" s="23" t="str">
        <f>IF(SUMPRODUCT($J$31:K$31,$J15:K15)&lt;0.5, "Pending", IF(K15&lt;0.5, "Complete", "In Progress"))</f>
        <v>Pending</v>
      </c>
      <c r="M15" s="22">
        <v>0</v>
      </c>
      <c r="N15" s="22">
        <f t="shared" si="24"/>
        <v>7</v>
      </c>
      <c r="O15" s="23" t="str">
        <f>IF(SUMPRODUCT($J$31:N$31,$J15:N15)&lt;0.5, "Pending", IF(N15&lt;0.5, "Complete", "In Progress"))</f>
        <v>Pending</v>
      </c>
      <c r="P15" s="22">
        <v>0</v>
      </c>
      <c r="Q15" s="22">
        <f t="shared" si="25"/>
        <v>7</v>
      </c>
      <c r="R15" s="23" t="str">
        <f>IF(SUMPRODUCT($J$31:Q$31,$J15:Q15)&lt;0.5, "Pending", IF(Q15&lt;0.5, "Complete", "In Progress"))</f>
        <v>Pending</v>
      </c>
      <c r="S15" s="22">
        <v>0</v>
      </c>
      <c r="T15" s="22">
        <f t="shared" si="26"/>
        <v>7</v>
      </c>
      <c r="U15" s="23" t="str">
        <f>IF(SUMPRODUCT($J$31:T$31,$J15:T15)&lt;0.5, "Pending", IF(T15&lt;0.5, "Complete", "In Progress"))</f>
        <v>Pending</v>
      </c>
      <c r="V15" s="22">
        <v>0</v>
      </c>
      <c r="W15" s="22">
        <f t="shared" si="27"/>
        <v>7</v>
      </c>
      <c r="X15" s="23" t="str">
        <f>IF(SUMPRODUCT($J$31:W$31,$J15:W15)&lt;0.5, "Pending", IF(W15&lt;0.5, "Complete", "In Progress"))</f>
        <v>Pending</v>
      </c>
      <c r="Y15" s="22">
        <v>0</v>
      </c>
      <c r="Z15" s="22">
        <f t="shared" si="28"/>
        <v>7</v>
      </c>
      <c r="AA15" s="23" t="str">
        <f>IF(SUMPRODUCT($J$31:Z$31,$J15:Z15)&lt;0.5, "Pending", IF(Z15&lt;0.5, "Complete", "In Progress"))</f>
        <v>Pending</v>
      </c>
      <c r="AB15" s="22">
        <v>0</v>
      </c>
      <c r="AC15" s="22">
        <f t="shared" si="29"/>
        <v>7</v>
      </c>
      <c r="AD15" s="23" t="str">
        <f>IF(SUMPRODUCT($J$31:AC$31,$J15:AC15)&lt;0.5, "Pending", IF(AC15&lt;0.5, "Complete", "In Progress"))</f>
        <v>Pending</v>
      </c>
      <c r="AE15" s="22">
        <v>2</v>
      </c>
      <c r="AF15" s="22">
        <f t="shared" si="30"/>
        <v>5</v>
      </c>
      <c r="AG15" s="23" t="str">
        <f>IF(SUMPRODUCT($J$31:AF$31,$J15:AF15)&lt;0.5, "Pending", IF(AF15&lt;0.5, "Complete", "In Progress"))</f>
        <v>In Progress</v>
      </c>
      <c r="AH15" s="22">
        <v>2</v>
      </c>
      <c r="AI15" s="22">
        <f t="shared" si="31"/>
        <v>3</v>
      </c>
      <c r="AJ15" s="23" t="str">
        <f>IF(SUMPRODUCT($J$31:AI$31,$J15:AI15)&lt;0.5, "Pending", IF(AI15&lt;0.5, "Complete", "In Progress"))</f>
        <v>In Progress</v>
      </c>
      <c r="AK15" s="22">
        <v>3</v>
      </c>
      <c r="AL15" s="22">
        <f t="shared" si="32"/>
        <v>0</v>
      </c>
      <c r="AM15" s="23" t="str">
        <f>IF(SUMPRODUCT($J$31:AL$31,$J15:AL15)&lt;0.5, "Pending", IF(AL15&lt;0.5, "Complete", "In Progress"))</f>
        <v>Complete</v>
      </c>
      <c r="AN15" s="22">
        <v>0</v>
      </c>
      <c r="AO15" s="22">
        <f t="shared" si="33"/>
        <v>0</v>
      </c>
      <c r="AP15" s="23" t="str">
        <f>IF(SUMPRODUCT($J$31:AO$31,$J15:AO15)&lt;0.5, "Pending", IF(AO15&lt;0.5, "Complete", "In Progress"))</f>
        <v>Complete</v>
      </c>
      <c r="AQ15" s="22">
        <v>0</v>
      </c>
      <c r="AR15" s="22">
        <f t="shared" si="34"/>
        <v>0</v>
      </c>
      <c r="AS15" s="23" t="str">
        <f>IF(SUMPRODUCT($J$31:AR$31,$J15:AR15)&lt;0.5, "Pending", IF(AR15&lt;0.5, "Complete", "In Progress"))</f>
        <v>Complete</v>
      </c>
      <c r="AT15" s="22">
        <v>0</v>
      </c>
      <c r="AU15" s="22">
        <f t="shared" si="35"/>
        <v>0</v>
      </c>
      <c r="AV15" s="23" t="str">
        <f>IF(SUMPRODUCT($J$31:AU$31,$J15:AU15)&lt;0.5, "Pending", IF(AU15&lt;0.5, "Complete", "In Progress"))</f>
        <v>Complete</v>
      </c>
      <c r="AW15" s="22">
        <v>0</v>
      </c>
      <c r="AX15" s="22">
        <f t="shared" si="36"/>
        <v>0</v>
      </c>
      <c r="AY15" s="23" t="str">
        <f>IF(SUMPRODUCT($J$31:AX$31,$J15:AX15)&lt;0.5, "Pending", IF(AX15&lt;0.5, "Complete", "In Progress"))</f>
        <v>Complete</v>
      </c>
      <c r="AZ15" s="22">
        <v>0</v>
      </c>
      <c r="BA15" s="22" t="e">
        <f>MAX(#REF!-AZ15,0)</f>
        <v>#REF!</v>
      </c>
      <c r="BB15" s="23" t="e">
        <f>IF(SUMPRODUCT($J$31:BA$31,$J15:BA15)&lt;0.5, "Pending", IF(BA15&lt;0.5, "Complete", "In Progress"))</f>
        <v>#REF!</v>
      </c>
      <c r="BC15" s="22">
        <v>0</v>
      </c>
      <c r="BD15" s="22" t="e">
        <f t="shared" si="37"/>
        <v>#REF!</v>
      </c>
      <c r="BE15" s="23" t="e">
        <f>IF(SUMPRODUCT($J$31:BD$31,$J15:BD15)&lt;0.5, "Pending", IF(BD15&lt;0.5, "Complete", "In Progress"))</f>
        <v>#REF!</v>
      </c>
      <c r="BF15" s="22">
        <v>0</v>
      </c>
      <c r="BG15" s="22" t="e">
        <f t="shared" si="38"/>
        <v>#REF!</v>
      </c>
      <c r="BH15" s="23" t="e">
        <f>IF(SUMPRODUCT($J$31:BG$31,$J15:BG15)&lt;0.5, "Pending", IF(BG15&lt;0.5, "Complete", "In Progress"))</f>
        <v>#REF!</v>
      </c>
      <c r="BI15" s="22">
        <v>0</v>
      </c>
      <c r="BJ15" s="22" t="e">
        <f t="shared" si="39"/>
        <v>#REF!</v>
      </c>
      <c r="BK15" s="23" t="e">
        <f>IF(SUMPRODUCT($J$31:BJ$31,$J15:BJ15)&lt;0.5, "Pending", IF(BJ15&lt;0.5, "Complete", "In Progress"))</f>
        <v>#REF!</v>
      </c>
      <c r="BL15" s="22">
        <v>0</v>
      </c>
      <c r="BM15" s="22" t="e">
        <f t="shared" si="40"/>
        <v>#REF!</v>
      </c>
      <c r="BN15" s="23" t="e">
        <f>IF(SUMPRODUCT($J$31:BM$31,$J15:BM15)&lt;0.5, "Pending", IF(BM15&lt;0.5, "Complete", "In Progress"))</f>
        <v>#REF!</v>
      </c>
      <c r="BO15" s="22">
        <v>0</v>
      </c>
      <c r="BP15" s="22" t="e">
        <f t="shared" si="41"/>
        <v>#REF!</v>
      </c>
      <c r="BQ15" s="23" t="e">
        <f>IF(SUMPRODUCT($J$31:BP$31,$J15:BP15)&lt;0.5, "Pending", IF(BP15&lt;0.5, "Complete", "In Progress"))</f>
        <v>#REF!</v>
      </c>
      <c r="BR15" s="22">
        <v>0</v>
      </c>
      <c r="BS15" s="22" t="e">
        <f t="shared" si="42"/>
        <v>#REF!</v>
      </c>
      <c r="BT15" s="23" t="e">
        <f>IF(SUMPRODUCT($J$31:BS$31,$J15:BS15)&lt;0.5, "Pending", IF(BS15&lt;0.5, "Complete", "In Progress"))</f>
        <v>#REF!</v>
      </c>
      <c r="BU15" s="22">
        <v>0</v>
      </c>
      <c r="BV15" s="22" t="e">
        <f t="shared" si="43"/>
        <v>#REF!</v>
      </c>
      <c r="BW15" s="23" t="e">
        <f>IF(SUMPRODUCT($J$31:BV$31,$J15:BV15)&lt;0.5, "Pending", IF(BV15&lt;0.5, "Complete", "In Progress"))</f>
        <v>#REF!</v>
      </c>
      <c r="BX15" s="22">
        <v>0</v>
      </c>
      <c r="BY15" s="22" t="e">
        <f t="shared" si="44"/>
        <v>#REF!</v>
      </c>
      <c r="BZ15" s="23" t="e">
        <f>IF(SUMPRODUCT($J$31:BY$31,$J15:BY15)&lt;0.5, "Pending", IF(BY15&lt;0.5, "Complete", "In Progress"))</f>
        <v>#REF!</v>
      </c>
      <c r="CA15" s="22">
        <v>0</v>
      </c>
      <c r="CB15" s="22" t="e">
        <f t="shared" si="45"/>
        <v>#REF!</v>
      </c>
      <c r="CC15" s="23" t="e">
        <f>IF(SUMPRODUCT($J$31:CB$31,$J15:CB15)&lt;0.5, "Pending", IF(CB15&lt;0.5, "Complete", "In Progress"))</f>
        <v>#REF!</v>
      </c>
      <c r="CD15" s="24"/>
      <c r="CE15" s="25">
        <f>SUMPRODUCT($H$31:AY$31,$H15:AY15)</f>
        <v>7</v>
      </c>
    </row>
    <row r="16" spans="1:83" ht="30.75" thickBot="1" x14ac:dyDescent="0.25">
      <c r="A16" s="177" t="s">
        <v>104</v>
      </c>
      <c r="B16" s="177" t="s">
        <v>121</v>
      </c>
      <c r="C16" s="187" t="s">
        <v>181</v>
      </c>
      <c r="D16" s="178">
        <v>12</v>
      </c>
      <c r="E16" s="179" t="s">
        <v>151</v>
      </c>
      <c r="F16" s="180" t="s">
        <v>141</v>
      </c>
      <c r="G16" s="19" t="e">
        <f t="shared" ca="1" si="0"/>
        <v>#REF!</v>
      </c>
      <c r="H16" s="20">
        <v>1</v>
      </c>
      <c r="I16" s="21">
        <v>6</v>
      </c>
      <c r="J16" s="22">
        <v>0</v>
      </c>
      <c r="K16" s="22">
        <f t="shared" si="1"/>
        <v>6</v>
      </c>
      <c r="L16" s="23" t="str">
        <f>IF(SUMPRODUCT($J$31:K$31,$J16:K16)&lt;0.5, "Pending", IF(K16&lt;0.5, "Complete", "In Progress"))</f>
        <v>Pending</v>
      </c>
      <c r="M16" s="22">
        <v>0</v>
      </c>
      <c r="N16" s="22">
        <f t="shared" ref="N16" si="68">MAX(K16-M16,0)</f>
        <v>6</v>
      </c>
      <c r="O16" s="23" t="str">
        <f>IF(SUMPRODUCT($J$31:N$31,$J16:N16)&lt;0.5, "Pending", IF(N16&lt;0.5, "Complete", "In Progress"))</f>
        <v>Pending</v>
      </c>
      <c r="P16" s="22">
        <v>0</v>
      </c>
      <c r="Q16" s="22">
        <f t="shared" ref="Q16" si="69">MAX(N16-P16,0)</f>
        <v>6</v>
      </c>
      <c r="R16" s="23" t="str">
        <f>IF(SUMPRODUCT($J$31:Q$31,$J16:Q16)&lt;0.5, "Pending", IF(Q16&lt;0.5, "Complete", "In Progress"))</f>
        <v>Pending</v>
      </c>
      <c r="S16" s="22">
        <v>0</v>
      </c>
      <c r="T16" s="22">
        <f t="shared" ref="T16" si="70">MAX(Q16-S16,0)</f>
        <v>6</v>
      </c>
      <c r="U16" s="23" t="str">
        <f>IF(SUMPRODUCT($J$31:T$31,$J16:T16)&lt;0.5, "Pending", IF(T16&lt;0.5, "Complete", "In Progress"))</f>
        <v>Pending</v>
      </c>
      <c r="V16" s="22">
        <v>0</v>
      </c>
      <c r="W16" s="22">
        <f t="shared" ref="W16" si="71">MAX(T16-V16,0)</f>
        <v>6</v>
      </c>
      <c r="X16" s="23" t="str">
        <f>IF(SUMPRODUCT($J$31:W$31,$J16:W16)&lt;0.5, "Pending", IF(W16&lt;0.5, "Complete", "In Progress"))</f>
        <v>Pending</v>
      </c>
      <c r="Y16" s="22">
        <v>0</v>
      </c>
      <c r="Z16" s="22">
        <f t="shared" ref="Z16" si="72">MAX(W16-Y16,0)</f>
        <v>6</v>
      </c>
      <c r="AA16" s="23" t="str">
        <f>IF(SUMPRODUCT($J$31:Z$31,$J16:Z16)&lt;0.5, "Pending", IF(Z16&lt;0.5, "Complete", "In Progress"))</f>
        <v>Pending</v>
      </c>
      <c r="AB16" s="22">
        <v>0</v>
      </c>
      <c r="AC16" s="22">
        <f t="shared" ref="AC16" si="73">MAX(Z16-AB16,0)</f>
        <v>6</v>
      </c>
      <c r="AD16" s="23" t="str">
        <f>IF(SUMPRODUCT($J$31:AC$31,$J16:AC16)&lt;0.5, "Pending", IF(AC16&lt;0.5, "Complete", "In Progress"))</f>
        <v>Pending</v>
      </c>
      <c r="AE16" s="22">
        <v>2</v>
      </c>
      <c r="AF16" s="22">
        <f t="shared" ref="AF16" si="74">MAX(AC16-AE16,0)</f>
        <v>4</v>
      </c>
      <c r="AG16" s="23" t="str">
        <f>IF(SUMPRODUCT($J$31:AF$31,$J16:AF16)&lt;0.5, "Pending", IF(AF16&lt;0.5, "Complete", "In Progress"))</f>
        <v>In Progress</v>
      </c>
      <c r="AH16" s="22">
        <v>2</v>
      </c>
      <c r="AI16" s="22">
        <f t="shared" ref="AI16" si="75">MAX(AF16-AH16,0)</f>
        <v>2</v>
      </c>
      <c r="AJ16" s="23" t="str">
        <f>IF(SUMPRODUCT($J$31:AI$31,$J16:AI16)&lt;0.5, "Pending", IF(AI16&lt;0.5, "Complete", "In Progress"))</f>
        <v>In Progress</v>
      </c>
      <c r="AK16" s="22">
        <v>2</v>
      </c>
      <c r="AL16" s="22">
        <f t="shared" ref="AL16" si="76">MAX(AI16-AK16,0)</f>
        <v>0</v>
      </c>
      <c r="AM16" s="23" t="str">
        <f>IF(SUMPRODUCT($J$31:AL$31,$J16:AL16)&lt;0.5, "Pending", IF(AL16&lt;0.5, "Complete", "In Progress"))</f>
        <v>Complete</v>
      </c>
      <c r="AN16" s="22">
        <v>0</v>
      </c>
      <c r="AO16" s="22">
        <f t="shared" ref="AO16" si="77">MAX(AL16-AN16,0)</f>
        <v>0</v>
      </c>
      <c r="AP16" s="23" t="str">
        <f>IF(SUMPRODUCT($J$31:AO$31,$J16:AO16)&lt;0.5, "Pending", IF(AO16&lt;0.5, "Complete", "In Progress"))</f>
        <v>Complete</v>
      </c>
      <c r="AQ16" s="22">
        <v>0</v>
      </c>
      <c r="AR16" s="22">
        <f t="shared" ref="AR16" si="78">MAX(AO16-AQ16,0)</f>
        <v>0</v>
      </c>
      <c r="AS16" s="23" t="str">
        <f>IF(SUMPRODUCT($J$31:AR$31,$J16:AR16)&lt;0.5, "Pending", IF(AR16&lt;0.5, "Complete", "In Progress"))</f>
        <v>Complete</v>
      </c>
      <c r="AT16" s="22">
        <v>0</v>
      </c>
      <c r="AU16" s="22">
        <f t="shared" ref="AU16" si="79">MAX(AR16-AT16,0)</f>
        <v>0</v>
      </c>
      <c r="AV16" s="23" t="str">
        <f>IF(SUMPRODUCT($J$31:AU$31,$J16:AU16)&lt;0.5, "Pending", IF(AU16&lt;0.5, "Complete", "In Progress"))</f>
        <v>Complete</v>
      </c>
      <c r="AW16" s="22">
        <v>0</v>
      </c>
      <c r="AX16" s="22">
        <f t="shared" ref="AX16" si="80">MAX(AU16-AW16,0)</f>
        <v>0</v>
      </c>
      <c r="AY16" s="23" t="str">
        <f>IF(SUMPRODUCT($J$31:AX$31,$J16:AX16)&lt;0.5, "Pending", IF(AX16&lt;0.5, "Complete", "In Progress"))</f>
        <v>Complete</v>
      </c>
      <c r="AZ16" s="22">
        <v>0</v>
      </c>
      <c r="BA16" s="22" t="e">
        <f>MAX(#REF!-AZ16,0)</f>
        <v>#REF!</v>
      </c>
      <c r="BB16" s="23" t="e">
        <f>IF(SUMPRODUCT($J$31:BA$31,$J16:BA16)&lt;0.5, "Pending", IF(BA16&lt;0.5, "Complete", "In Progress"))</f>
        <v>#REF!</v>
      </c>
      <c r="BC16" s="22">
        <v>0</v>
      </c>
      <c r="BD16" s="22" t="e">
        <f t="shared" ref="BD16" si="81">MAX(BA16-BC16,0)</f>
        <v>#REF!</v>
      </c>
      <c r="BE16" s="23" t="e">
        <f>IF(SUMPRODUCT($J$31:BD$31,$J16:BD16)&lt;0.5, "Pending", IF(BD16&lt;0.5, "Complete", "In Progress"))</f>
        <v>#REF!</v>
      </c>
      <c r="BF16" s="22">
        <v>0</v>
      </c>
      <c r="BG16" s="22" t="e">
        <f t="shared" ref="BG16" si="82">MAX(BD16-BF16,0)</f>
        <v>#REF!</v>
      </c>
      <c r="BH16" s="23" t="e">
        <f>IF(SUMPRODUCT($J$31:BG$31,$J16:BG16)&lt;0.5, "Pending", IF(BG16&lt;0.5, "Complete", "In Progress"))</f>
        <v>#REF!</v>
      </c>
      <c r="BI16" s="22">
        <v>0</v>
      </c>
      <c r="BJ16" s="22" t="e">
        <f t="shared" ref="BJ16" si="83">MAX(BG16-BI16,0)</f>
        <v>#REF!</v>
      </c>
      <c r="BK16" s="23" t="e">
        <f>IF(SUMPRODUCT($J$31:BJ$31,$J16:BJ16)&lt;0.5, "Pending", IF(BJ16&lt;0.5, "Complete", "In Progress"))</f>
        <v>#REF!</v>
      </c>
      <c r="BL16" s="22">
        <v>0</v>
      </c>
      <c r="BM16" s="22" t="e">
        <f t="shared" ref="BM16" si="84">MAX(BJ16-BL16,0)</f>
        <v>#REF!</v>
      </c>
      <c r="BN16" s="23" t="e">
        <f>IF(SUMPRODUCT($J$31:BM$31,$J16:BM16)&lt;0.5, "Pending", IF(BM16&lt;0.5, "Complete", "In Progress"))</f>
        <v>#REF!</v>
      </c>
      <c r="BO16" s="22">
        <v>0</v>
      </c>
      <c r="BP16" s="22" t="e">
        <f t="shared" ref="BP16" si="85">MAX(BM16-BO16,0)</f>
        <v>#REF!</v>
      </c>
      <c r="BQ16" s="23" t="e">
        <f>IF(SUMPRODUCT($J$31:BP$31,$J16:BP16)&lt;0.5, "Pending", IF(BP16&lt;0.5, "Complete", "In Progress"))</f>
        <v>#REF!</v>
      </c>
      <c r="BR16" s="22">
        <v>0</v>
      </c>
      <c r="BS16" s="22" t="e">
        <f t="shared" ref="BS16" si="86">MAX(BP16-BR16,0)</f>
        <v>#REF!</v>
      </c>
      <c r="BT16" s="23" t="e">
        <f>IF(SUMPRODUCT($J$31:BS$31,$J16:BS16)&lt;0.5, "Pending", IF(BS16&lt;0.5, "Complete", "In Progress"))</f>
        <v>#REF!</v>
      </c>
      <c r="BU16" s="22">
        <v>0</v>
      </c>
      <c r="BV16" s="22" t="e">
        <f t="shared" ref="BV16" si="87">MAX(BS16-BU16,0)</f>
        <v>#REF!</v>
      </c>
      <c r="BW16" s="23" t="e">
        <f>IF(SUMPRODUCT($J$31:BV$31,$J16:BV16)&lt;0.5, "Pending", IF(BV16&lt;0.5, "Complete", "In Progress"))</f>
        <v>#REF!</v>
      </c>
      <c r="BX16" s="22">
        <v>0</v>
      </c>
      <c r="BY16" s="22" t="e">
        <f t="shared" ref="BY16" si="88">MAX(BV16-BX16,0)</f>
        <v>#REF!</v>
      </c>
      <c r="BZ16" s="23" t="e">
        <f>IF(SUMPRODUCT($J$31:BY$31,$J16:BY16)&lt;0.5, "Pending", IF(BY16&lt;0.5, "Complete", "In Progress"))</f>
        <v>#REF!</v>
      </c>
      <c r="CA16" s="22">
        <v>0</v>
      </c>
      <c r="CB16" s="22" t="e">
        <f t="shared" ref="CB16" si="89">MAX(BY16-CA16,0)</f>
        <v>#REF!</v>
      </c>
      <c r="CC16" s="23" t="e">
        <f>IF(SUMPRODUCT($J$31:CB$31,$J16:CB16)&lt;0.5, "Pending", IF(CB16&lt;0.5, "Complete", "In Progress"))</f>
        <v>#REF!</v>
      </c>
      <c r="CD16" s="24"/>
      <c r="CE16" s="25">
        <f>SUMPRODUCT($H$31:AY$31,$H16:AY16)</f>
        <v>6</v>
      </c>
    </row>
    <row r="17" spans="1:83" ht="30.75" thickBot="1" x14ac:dyDescent="0.25">
      <c r="A17" s="177" t="s">
        <v>104</v>
      </c>
      <c r="B17" s="177" t="s">
        <v>121</v>
      </c>
      <c r="C17" s="190" t="s">
        <v>176</v>
      </c>
      <c r="D17" s="178">
        <v>13</v>
      </c>
      <c r="E17" s="179" t="s">
        <v>162</v>
      </c>
      <c r="F17" s="180" t="s">
        <v>139</v>
      </c>
      <c r="G17" s="19" t="e">
        <f t="shared" ca="1" si="0"/>
        <v>#REF!</v>
      </c>
      <c r="H17" s="20">
        <v>1</v>
      </c>
      <c r="I17" s="21">
        <v>7</v>
      </c>
      <c r="J17" s="22">
        <v>0</v>
      </c>
      <c r="K17" s="22">
        <f t="shared" si="1"/>
        <v>7</v>
      </c>
      <c r="L17" s="23" t="str">
        <f>IF(SUMPRODUCT($J$31:K$31,$J17:K17)&lt;0.5, "Pending", IF(K17&lt;0.5, "Complete", "In Progress"))</f>
        <v>Pending</v>
      </c>
      <c r="M17" s="22">
        <v>0</v>
      </c>
      <c r="N17" s="22">
        <f t="shared" ref="N17" si="90">MAX(K17-M17,0)</f>
        <v>7</v>
      </c>
      <c r="O17" s="23" t="str">
        <f>IF(SUMPRODUCT($J$31:N$31,$J17:N17)&lt;0.5, "Pending", IF(N17&lt;0.5, "Complete", "In Progress"))</f>
        <v>Pending</v>
      </c>
      <c r="P17" s="22">
        <v>0</v>
      </c>
      <c r="Q17" s="22">
        <f t="shared" ref="Q17" si="91">MAX(N17-P17,0)</f>
        <v>7</v>
      </c>
      <c r="R17" s="23" t="str">
        <f>IF(SUMPRODUCT($J$31:Q$31,$J17:Q17)&lt;0.5, "Pending", IF(Q17&lt;0.5, "Complete", "In Progress"))</f>
        <v>Pending</v>
      </c>
      <c r="S17" s="22">
        <v>0</v>
      </c>
      <c r="T17" s="22">
        <f t="shared" ref="T17" si="92">MAX(Q17-S17,0)</f>
        <v>7</v>
      </c>
      <c r="U17" s="23" t="str">
        <f>IF(SUMPRODUCT($J$31:T$31,$J17:T17)&lt;0.5, "Pending", IF(T17&lt;0.5, "Complete", "In Progress"))</f>
        <v>Pending</v>
      </c>
      <c r="V17" s="22">
        <v>2</v>
      </c>
      <c r="W17" s="22">
        <f t="shared" ref="W17" si="93">MAX(T17-V17,0)</f>
        <v>5</v>
      </c>
      <c r="X17" s="23" t="str">
        <f>IF(SUMPRODUCT($J$31:W$31,$J17:W17)&lt;0.5, "Pending", IF(W17&lt;0.5, "Complete", "In Progress"))</f>
        <v>In Progress</v>
      </c>
      <c r="Y17" s="22">
        <v>1</v>
      </c>
      <c r="Z17" s="22">
        <f t="shared" ref="Z17" si="94">MAX(W17-Y17,0)</f>
        <v>4</v>
      </c>
      <c r="AA17" s="23" t="str">
        <f>IF(SUMPRODUCT($J$31:Z$31,$J17:Z17)&lt;0.5, "Pending", IF(Z17&lt;0.5, "Complete", "In Progress"))</f>
        <v>In Progress</v>
      </c>
      <c r="AB17" s="22">
        <v>2</v>
      </c>
      <c r="AC17" s="22">
        <f t="shared" ref="AC17" si="95">MAX(Z17-AB17,0)</f>
        <v>2</v>
      </c>
      <c r="AD17" s="23" t="str">
        <f>IF(SUMPRODUCT($J$31:AC$31,$J17:AC17)&lt;0.5, "Pending", IF(AC17&lt;0.5, "Complete", "In Progress"))</f>
        <v>In Progress</v>
      </c>
      <c r="AE17" s="22">
        <v>2</v>
      </c>
      <c r="AF17" s="22">
        <f t="shared" ref="AF17" si="96">MAX(AC17-AE17,0)</f>
        <v>0</v>
      </c>
      <c r="AG17" s="23" t="str">
        <f>IF(SUMPRODUCT($J$31:AF$31,$J17:AF17)&lt;0.5, "Pending", IF(AF17&lt;0.5, "Complete", "In Progress"))</f>
        <v>Complete</v>
      </c>
      <c r="AH17" s="22">
        <v>0</v>
      </c>
      <c r="AI17" s="22">
        <f t="shared" ref="AI17" si="97">MAX(AF17-AH17,0)</f>
        <v>0</v>
      </c>
      <c r="AJ17" s="23" t="str">
        <f>IF(SUMPRODUCT($J$31:AI$31,$J17:AI17)&lt;0.5, "Pending", IF(AI17&lt;0.5, "Complete", "In Progress"))</f>
        <v>Complete</v>
      </c>
      <c r="AK17" s="22">
        <v>0</v>
      </c>
      <c r="AL17" s="22">
        <f t="shared" ref="AL17" si="98">MAX(AI17-AK17,0)</f>
        <v>0</v>
      </c>
      <c r="AM17" s="23" t="str">
        <f>IF(SUMPRODUCT($J$31:AL$31,$J17:AL17)&lt;0.5, "Pending", IF(AL17&lt;0.5, "Complete", "In Progress"))</f>
        <v>Complete</v>
      </c>
      <c r="AN17" s="22">
        <v>0</v>
      </c>
      <c r="AO17" s="22">
        <f t="shared" ref="AO17" si="99">MAX(AL17-AN17,0)</f>
        <v>0</v>
      </c>
      <c r="AP17" s="23" t="str">
        <f>IF(SUMPRODUCT($J$31:AO$31,$J17:AO17)&lt;0.5, "Pending", IF(AO17&lt;0.5, "Complete", "In Progress"))</f>
        <v>Complete</v>
      </c>
      <c r="AQ17" s="22">
        <v>0</v>
      </c>
      <c r="AR17" s="22">
        <f t="shared" ref="AR17" si="100">MAX(AO17-AQ17,0)</f>
        <v>0</v>
      </c>
      <c r="AS17" s="23" t="str">
        <f>IF(SUMPRODUCT($J$31:AR$31,$J17:AR17)&lt;0.5, "Pending", IF(AR17&lt;0.5, "Complete", "In Progress"))</f>
        <v>Complete</v>
      </c>
      <c r="AT17" s="22">
        <v>0</v>
      </c>
      <c r="AU17" s="22">
        <f t="shared" ref="AU17" si="101">MAX(AR17-AT17,0)</f>
        <v>0</v>
      </c>
      <c r="AV17" s="23" t="str">
        <f>IF(SUMPRODUCT($J$31:AU$31,$J17:AU17)&lt;0.5, "Pending", IF(AU17&lt;0.5, "Complete", "In Progress"))</f>
        <v>Complete</v>
      </c>
      <c r="AW17" s="22">
        <v>0</v>
      </c>
      <c r="AX17" s="22">
        <f t="shared" ref="AX17" si="102">MAX(AU17-AW17,0)</f>
        <v>0</v>
      </c>
      <c r="AY17" s="23" t="str">
        <f>IF(SUMPRODUCT($J$31:AX$31,$J17:AX17)&lt;0.5, "Pending", IF(AX17&lt;0.5, "Complete", "In Progress"))</f>
        <v>Complete</v>
      </c>
      <c r="AZ17" s="22">
        <v>0</v>
      </c>
      <c r="BA17" s="22" t="e">
        <f>MAX(#REF!-AZ17,0)</f>
        <v>#REF!</v>
      </c>
      <c r="BB17" s="23" t="e">
        <f>IF(SUMPRODUCT($J$31:BA$31,$J17:BA17)&lt;0.5, "Pending", IF(BA17&lt;0.5, "Complete", "In Progress"))</f>
        <v>#REF!</v>
      </c>
      <c r="BC17" s="22">
        <v>0</v>
      </c>
      <c r="BD17" s="22" t="e">
        <f t="shared" ref="BD17" si="103">MAX(BA17-BC17,0)</f>
        <v>#REF!</v>
      </c>
      <c r="BE17" s="23" t="e">
        <f>IF(SUMPRODUCT($J$31:BD$31,$J17:BD17)&lt;0.5, "Pending", IF(BD17&lt;0.5, "Complete", "In Progress"))</f>
        <v>#REF!</v>
      </c>
      <c r="BF17" s="22">
        <v>0</v>
      </c>
      <c r="BG17" s="22" t="e">
        <f t="shared" ref="BG17" si="104">MAX(BD17-BF17,0)</f>
        <v>#REF!</v>
      </c>
      <c r="BH17" s="23" t="e">
        <f>IF(SUMPRODUCT($J$31:BG$31,$J17:BG17)&lt;0.5, "Pending", IF(BG17&lt;0.5, "Complete", "In Progress"))</f>
        <v>#REF!</v>
      </c>
      <c r="BI17" s="22">
        <v>0</v>
      </c>
      <c r="BJ17" s="22" t="e">
        <f t="shared" ref="BJ17" si="105">MAX(BG17-BI17,0)</f>
        <v>#REF!</v>
      </c>
      <c r="BK17" s="23" t="e">
        <f>IF(SUMPRODUCT($J$31:BJ$31,$J17:BJ17)&lt;0.5, "Pending", IF(BJ17&lt;0.5, "Complete", "In Progress"))</f>
        <v>#REF!</v>
      </c>
      <c r="BL17" s="22">
        <v>0</v>
      </c>
      <c r="BM17" s="22" t="e">
        <f t="shared" ref="BM17" si="106">MAX(BJ17-BL17,0)</f>
        <v>#REF!</v>
      </c>
      <c r="BN17" s="23" t="e">
        <f>IF(SUMPRODUCT($J$31:BM$31,$J17:BM17)&lt;0.5, "Pending", IF(BM17&lt;0.5, "Complete", "In Progress"))</f>
        <v>#REF!</v>
      </c>
      <c r="BO17" s="22">
        <v>0</v>
      </c>
      <c r="BP17" s="22" t="e">
        <f t="shared" ref="BP17" si="107">MAX(BM17-BO17,0)</f>
        <v>#REF!</v>
      </c>
      <c r="BQ17" s="23" t="e">
        <f>IF(SUMPRODUCT($J$31:BP$31,$J17:BP17)&lt;0.5, "Pending", IF(BP17&lt;0.5, "Complete", "In Progress"))</f>
        <v>#REF!</v>
      </c>
      <c r="BR17" s="22">
        <v>0</v>
      </c>
      <c r="BS17" s="22" t="e">
        <f t="shared" ref="BS17" si="108">MAX(BP17-BR17,0)</f>
        <v>#REF!</v>
      </c>
      <c r="BT17" s="23" t="e">
        <f>IF(SUMPRODUCT($J$31:BS$31,$J17:BS17)&lt;0.5, "Pending", IF(BS17&lt;0.5, "Complete", "In Progress"))</f>
        <v>#REF!</v>
      </c>
      <c r="BU17" s="22">
        <v>0</v>
      </c>
      <c r="BV17" s="22" t="e">
        <f t="shared" ref="BV17" si="109">MAX(BS17-BU17,0)</f>
        <v>#REF!</v>
      </c>
      <c r="BW17" s="23" t="e">
        <f>IF(SUMPRODUCT($J$31:BV$31,$J17:BV17)&lt;0.5, "Pending", IF(BV17&lt;0.5, "Complete", "In Progress"))</f>
        <v>#REF!</v>
      </c>
      <c r="BX17" s="22">
        <v>0</v>
      </c>
      <c r="BY17" s="22" t="e">
        <f t="shared" ref="BY17" si="110">MAX(BV17-BX17,0)</f>
        <v>#REF!</v>
      </c>
      <c r="BZ17" s="23" t="e">
        <f>IF(SUMPRODUCT($J$31:BY$31,$J17:BY17)&lt;0.5, "Pending", IF(BY17&lt;0.5, "Complete", "In Progress"))</f>
        <v>#REF!</v>
      </c>
      <c r="CA17" s="22">
        <v>0</v>
      </c>
      <c r="CB17" s="22" t="e">
        <f t="shared" ref="CB17" si="111">MAX(BY17-CA17,0)</f>
        <v>#REF!</v>
      </c>
      <c r="CC17" s="23" t="e">
        <f>IF(SUMPRODUCT($J$31:CB$31,$J17:CB17)&lt;0.5, "Pending", IF(CB17&lt;0.5, "Complete", "In Progress"))</f>
        <v>#REF!</v>
      </c>
      <c r="CD17" s="24"/>
      <c r="CE17" s="25">
        <f>SUMPRODUCT($H$31:AY$31,$H17:AY17)</f>
        <v>7</v>
      </c>
    </row>
    <row r="18" spans="1:83" ht="30.75" thickBot="1" x14ac:dyDescent="0.25">
      <c r="A18" s="177" t="s">
        <v>104</v>
      </c>
      <c r="B18" s="177" t="s">
        <v>121</v>
      </c>
      <c r="C18" s="190" t="s">
        <v>176</v>
      </c>
      <c r="D18" s="178">
        <v>14</v>
      </c>
      <c r="E18" s="179" t="s">
        <v>163</v>
      </c>
      <c r="F18" s="180" t="s">
        <v>143</v>
      </c>
      <c r="G18" s="19" t="e">
        <f t="shared" ca="1" si="0"/>
        <v>#REF!</v>
      </c>
      <c r="H18" s="20">
        <v>1</v>
      </c>
      <c r="I18" s="21">
        <v>6</v>
      </c>
      <c r="J18" s="22">
        <v>0</v>
      </c>
      <c r="K18" s="22">
        <f t="shared" si="1"/>
        <v>6</v>
      </c>
      <c r="L18" s="23" t="str">
        <f>IF(SUMPRODUCT($J$31:K$31,$J18:K18)&lt;0.5, "Pending", IF(K18&lt;0.5, "Complete", "In Progress"))</f>
        <v>Pending</v>
      </c>
      <c r="M18" s="22">
        <v>0</v>
      </c>
      <c r="N18" s="22">
        <f t="shared" ref="N18" si="112">MAX(K18-M18,0)</f>
        <v>6</v>
      </c>
      <c r="O18" s="23" t="str">
        <f>IF(SUMPRODUCT($J$31:N$31,$J18:N18)&lt;0.5, "Pending", IF(N18&lt;0.5, "Complete", "In Progress"))</f>
        <v>Pending</v>
      </c>
      <c r="P18" s="22">
        <v>0</v>
      </c>
      <c r="Q18" s="22">
        <f t="shared" ref="Q18" si="113">MAX(N18-P18,0)</f>
        <v>6</v>
      </c>
      <c r="R18" s="23" t="str">
        <f>IF(SUMPRODUCT($J$31:Q$31,$J18:Q18)&lt;0.5, "Pending", IF(Q18&lt;0.5, "Complete", "In Progress"))</f>
        <v>Pending</v>
      </c>
      <c r="S18" s="22">
        <v>1</v>
      </c>
      <c r="T18" s="22">
        <f t="shared" ref="T18" si="114">MAX(Q18-S18,0)</f>
        <v>5</v>
      </c>
      <c r="U18" s="23" t="str">
        <f>IF(SUMPRODUCT($J$31:T$31,$J18:T18)&lt;0.5, "Pending", IF(T18&lt;0.5, "Complete", "In Progress"))</f>
        <v>In Progress</v>
      </c>
      <c r="V18" s="22">
        <v>2</v>
      </c>
      <c r="W18" s="22">
        <f t="shared" ref="W18" si="115">MAX(T18-V18,0)</f>
        <v>3</v>
      </c>
      <c r="X18" s="23" t="str">
        <f>IF(SUMPRODUCT($J$31:W$31,$J18:W18)&lt;0.5, "Pending", IF(W18&lt;0.5, "Complete", "In Progress"))</f>
        <v>In Progress</v>
      </c>
      <c r="Y18" s="22">
        <v>2</v>
      </c>
      <c r="Z18" s="22">
        <f t="shared" ref="Z18" si="116">MAX(W18-Y18,0)</f>
        <v>1</v>
      </c>
      <c r="AA18" s="23" t="str">
        <f>IF(SUMPRODUCT($J$31:Z$31,$J18:Z18)&lt;0.5, "Pending", IF(Z18&lt;0.5, "Complete", "In Progress"))</f>
        <v>In Progress</v>
      </c>
      <c r="AB18" s="22">
        <v>1</v>
      </c>
      <c r="AC18" s="22">
        <f t="shared" ref="AC18" si="117">MAX(Z18-AB18,0)</f>
        <v>0</v>
      </c>
      <c r="AD18" s="23" t="str">
        <f>IF(SUMPRODUCT($J$31:AC$31,$J18:AC18)&lt;0.5, "Pending", IF(AC18&lt;0.5, "Complete", "In Progress"))</f>
        <v>Complete</v>
      </c>
      <c r="AE18" s="22">
        <v>0</v>
      </c>
      <c r="AF18" s="22">
        <f t="shared" ref="AF18" si="118">MAX(AC18-AE18,0)</f>
        <v>0</v>
      </c>
      <c r="AG18" s="23" t="str">
        <f>IF(SUMPRODUCT($J$31:AF$31,$J18:AF18)&lt;0.5, "Pending", IF(AF18&lt;0.5, "Complete", "In Progress"))</f>
        <v>Complete</v>
      </c>
      <c r="AH18" s="22">
        <v>0</v>
      </c>
      <c r="AI18" s="22">
        <f t="shared" ref="AI18" si="119">MAX(AF18-AH18,0)</f>
        <v>0</v>
      </c>
      <c r="AJ18" s="23" t="str">
        <f>IF(SUMPRODUCT($J$31:AI$31,$J18:AI18)&lt;0.5, "Pending", IF(AI18&lt;0.5, "Complete", "In Progress"))</f>
        <v>Complete</v>
      </c>
      <c r="AK18" s="22">
        <v>0</v>
      </c>
      <c r="AL18" s="22">
        <f t="shared" ref="AL18" si="120">MAX(AI18-AK18,0)</f>
        <v>0</v>
      </c>
      <c r="AM18" s="23" t="str">
        <f>IF(SUMPRODUCT($J$31:AL$31,$J18:AL18)&lt;0.5, "Pending", IF(AL18&lt;0.5, "Complete", "In Progress"))</f>
        <v>Complete</v>
      </c>
      <c r="AN18" s="22">
        <v>0</v>
      </c>
      <c r="AO18" s="22">
        <f t="shared" ref="AO18" si="121">MAX(AL18-AN18,0)</f>
        <v>0</v>
      </c>
      <c r="AP18" s="23" t="str">
        <f>IF(SUMPRODUCT($J$31:AO$31,$J18:AO18)&lt;0.5, "Pending", IF(AO18&lt;0.5, "Complete", "In Progress"))</f>
        <v>Complete</v>
      </c>
      <c r="AQ18" s="22">
        <v>0</v>
      </c>
      <c r="AR18" s="22">
        <f t="shared" ref="AR18" si="122">MAX(AO18-AQ18,0)</f>
        <v>0</v>
      </c>
      <c r="AS18" s="23" t="str">
        <f>IF(SUMPRODUCT($J$31:AR$31,$J18:AR18)&lt;0.5, "Pending", IF(AR18&lt;0.5, "Complete", "In Progress"))</f>
        <v>Complete</v>
      </c>
      <c r="AT18" s="22">
        <v>0</v>
      </c>
      <c r="AU18" s="22">
        <f t="shared" ref="AU18" si="123">MAX(AR18-AT18,0)</f>
        <v>0</v>
      </c>
      <c r="AV18" s="23" t="str">
        <f>IF(SUMPRODUCT($J$31:AU$31,$J18:AU18)&lt;0.5, "Pending", IF(AU18&lt;0.5, "Complete", "In Progress"))</f>
        <v>Complete</v>
      </c>
      <c r="AW18" s="22">
        <v>0</v>
      </c>
      <c r="AX18" s="22">
        <f t="shared" ref="AX18" si="124">MAX(AU18-AW18,0)</f>
        <v>0</v>
      </c>
      <c r="AY18" s="23" t="str">
        <f>IF(SUMPRODUCT($J$31:AX$31,$J18:AX18)&lt;0.5, "Pending", IF(AX18&lt;0.5, "Complete", "In Progress"))</f>
        <v>Complete</v>
      </c>
      <c r="AZ18" s="22">
        <v>0</v>
      </c>
      <c r="BA18" s="22" t="e">
        <f>MAX(#REF!-AZ18,0)</f>
        <v>#REF!</v>
      </c>
      <c r="BB18" s="23" t="e">
        <f>IF(SUMPRODUCT($J$31:BA$31,$J18:BA18)&lt;0.5, "Pending", IF(BA18&lt;0.5, "Complete", "In Progress"))</f>
        <v>#REF!</v>
      </c>
      <c r="BC18" s="22">
        <v>0</v>
      </c>
      <c r="BD18" s="22" t="e">
        <f t="shared" ref="BD18" si="125">MAX(BA18-BC18,0)</f>
        <v>#REF!</v>
      </c>
      <c r="BE18" s="23" t="e">
        <f>IF(SUMPRODUCT($J$31:BD$31,$J18:BD18)&lt;0.5, "Pending", IF(BD18&lt;0.5, "Complete", "In Progress"))</f>
        <v>#REF!</v>
      </c>
      <c r="BF18" s="22">
        <v>0</v>
      </c>
      <c r="BG18" s="22" t="e">
        <f t="shared" ref="BG18" si="126">MAX(BD18-BF18,0)</f>
        <v>#REF!</v>
      </c>
      <c r="BH18" s="23" t="e">
        <f>IF(SUMPRODUCT($J$31:BG$31,$J18:BG18)&lt;0.5, "Pending", IF(BG18&lt;0.5, "Complete", "In Progress"))</f>
        <v>#REF!</v>
      </c>
      <c r="BI18" s="22">
        <v>0</v>
      </c>
      <c r="BJ18" s="22" t="e">
        <f t="shared" ref="BJ18" si="127">MAX(BG18-BI18,0)</f>
        <v>#REF!</v>
      </c>
      <c r="BK18" s="23" t="e">
        <f>IF(SUMPRODUCT($J$31:BJ$31,$J18:BJ18)&lt;0.5, "Pending", IF(BJ18&lt;0.5, "Complete", "In Progress"))</f>
        <v>#REF!</v>
      </c>
      <c r="BL18" s="22">
        <v>0</v>
      </c>
      <c r="BM18" s="22" t="e">
        <f t="shared" ref="BM18" si="128">MAX(BJ18-BL18,0)</f>
        <v>#REF!</v>
      </c>
      <c r="BN18" s="23" t="e">
        <f>IF(SUMPRODUCT($J$31:BM$31,$J18:BM18)&lt;0.5, "Pending", IF(BM18&lt;0.5, "Complete", "In Progress"))</f>
        <v>#REF!</v>
      </c>
      <c r="BO18" s="22">
        <v>0</v>
      </c>
      <c r="BP18" s="22" t="e">
        <f t="shared" ref="BP18" si="129">MAX(BM18-BO18,0)</f>
        <v>#REF!</v>
      </c>
      <c r="BQ18" s="23" t="e">
        <f>IF(SUMPRODUCT($J$31:BP$31,$J18:BP18)&lt;0.5, "Pending", IF(BP18&lt;0.5, "Complete", "In Progress"))</f>
        <v>#REF!</v>
      </c>
      <c r="BR18" s="22">
        <v>0</v>
      </c>
      <c r="BS18" s="22" t="e">
        <f t="shared" ref="BS18" si="130">MAX(BP18-BR18,0)</f>
        <v>#REF!</v>
      </c>
      <c r="BT18" s="23" t="e">
        <f>IF(SUMPRODUCT($J$31:BS$31,$J18:BS18)&lt;0.5, "Pending", IF(BS18&lt;0.5, "Complete", "In Progress"))</f>
        <v>#REF!</v>
      </c>
      <c r="BU18" s="22">
        <v>0</v>
      </c>
      <c r="BV18" s="22" t="e">
        <f t="shared" ref="BV18" si="131">MAX(BS18-BU18,0)</f>
        <v>#REF!</v>
      </c>
      <c r="BW18" s="23" t="e">
        <f>IF(SUMPRODUCT($J$31:BV$31,$J18:BV18)&lt;0.5, "Pending", IF(BV18&lt;0.5, "Complete", "In Progress"))</f>
        <v>#REF!</v>
      </c>
      <c r="BX18" s="22">
        <v>0</v>
      </c>
      <c r="BY18" s="22" t="e">
        <f t="shared" ref="BY18" si="132">MAX(BV18-BX18,0)</f>
        <v>#REF!</v>
      </c>
      <c r="BZ18" s="23" t="e">
        <f>IF(SUMPRODUCT($J$31:BY$31,$J18:BY18)&lt;0.5, "Pending", IF(BY18&lt;0.5, "Complete", "In Progress"))</f>
        <v>#REF!</v>
      </c>
      <c r="CA18" s="22">
        <v>0</v>
      </c>
      <c r="CB18" s="22" t="e">
        <f t="shared" ref="CB18" si="133">MAX(BY18-CA18,0)</f>
        <v>#REF!</v>
      </c>
      <c r="CC18" s="23" t="e">
        <f>IF(SUMPRODUCT($J$31:CB$31,$J18:CB18)&lt;0.5, "Pending", IF(CB18&lt;0.5, "Complete", "In Progress"))</f>
        <v>#REF!</v>
      </c>
      <c r="CD18" s="24"/>
      <c r="CE18" s="25">
        <f>SUMPRODUCT($H$31:AY$31,$H18:AY18)</f>
        <v>6</v>
      </c>
    </row>
    <row r="19" spans="1:83" ht="15" x14ac:dyDescent="0.2">
      <c r="A19" s="177" t="s">
        <v>106</v>
      </c>
      <c r="B19" s="177" t="s">
        <v>109</v>
      </c>
      <c r="C19" s="188" t="s">
        <v>164</v>
      </c>
      <c r="D19" s="178">
        <v>15</v>
      </c>
      <c r="E19" s="181" t="s">
        <v>165</v>
      </c>
      <c r="F19" s="180" t="s">
        <v>135</v>
      </c>
      <c r="G19" s="19" t="e">
        <f t="shared" ca="1" si="0"/>
        <v>#REF!</v>
      </c>
      <c r="H19" s="20">
        <v>1</v>
      </c>
      <c r="I19" s="21">
        <v>3</v>
      </c>
      <c r="J19" s="22">
        <v>0</v>
      </c>
      <c r="K19" s="22">
        <f t="shared" si="1"/>
        <v>3</v>
      </c>
      <c r="L19" s="23" t="str">
        <f>IF(SUMPRODUCT($J$31:K$31,$J19:K19)&lt;0.5, "Pending", IF(K19&lt;0.5, "Complete", "In Progress"))</f>
        <v>Pending</v>
      </c>
      <c r="M19" s="22">
        <v>0</v>
      </c>
      <c r="N19" s="22">
        <f t="shared" ref="N19" si="134">MAX(K19-M19,0)</f>
        <v>3</v>
      </c>
      <c r="O19" s="23" t="str">
        <f>IF(SUMPRODUCT($J$31:N$31,$J19:N19)&lt;0.5, "Pending", IF(N19&lt;0.5, "Complete", "In Progress"))</f>
        <v>Pending</v>
      </c>
      <c r="P19" s="22">
        <v>0</v>
      </c>
      <c r="Q19" s="22">
        <f t="shared" ref="Q19" si="135">MAX(N19-P19,0)</f>
        <v>3</v>
      </c>
      <c r="R19" s="23" t="str">
        <f>IF(SUMPRODUCT($J$31:Q$31,$J19:Q19)&lt;0.5, "Pending", IF(Q19&lt;0.5, "Complete", "In Progress"))</f>
        <v>Pending</v>
      </c>
      <c r="S19" s="22">
        <v>0</v>
      </c>
      <c r="T19" s="22">
        <f t="shared" ref="T19" si="136">MAX(Q19-S19,0)</f>
        <v>3</v>
      </c>
      <c r="U19" s="23" t="str">
        <f>IF(SUMPRODUCT($J$31:T$31,$J19:T19)&lt;0.5, "Pending", IF(T19&lt;0.5, "Complete", "In Progress"))</f>
        <v>Pending</v>
      </c>
      <c r="V19" s="22">
        <v>0</v>
      </c>
      <c r="W19" s="22">
        <f t="shared" ref="W19" si="137">MAX(T19-V19,0)</f>
        <v>3</v>
      </c>
      <c r="X19" s="23" t="str">
        <f>IF(SUMPRODUCT($J$31:W$31,$J19:W19)&lt;0.5, "Pending", IF(W19&lt;0.5, "Complete", "In Progress"))</f>
        <v>Pending</v>
      </c>
      <c r="Y19" s="22">
        <v>0</v>
      </c>
      <c r="Z19" s="22">
        <f t="shared" ref="Z19" si="138">MAX(W19-Y19,0)</f>
        <v>3</v>
      </c>
      <c r="AA19" s="23" t="str">
        <f>IF(SUMPRODUCT($J$31:Z$31,$J19:Z19)&lt;0.5, "Pending", IF(Z19&lt;0.5, "Complete", "In Progress"))</f>
        <v>Pending</v>
      </c>
      <c r="AB19" s="22">
        <v>1</v>
      </c>
      <c r="AC19" s="22">
        <f t="shared" ref="AC19" si="139">MAX(Z19-AB19,0)</f>
        <v>2</v>
      </c>
      <c r="AD19" s="23" t="str">
        <f>IF(SUMPRODUCT($J$31:AC$31,$J19:AC19)&lt;0.5, "Pending", IF(AC19&lt;0.5, "Complete", "In Progress"))</f>
        <v>In Progress</v>
      </c>
      <c r="AE19" s="22">
        <v>2</v>
      </c>
      <c r="AF19" s="22">
        <f t="shared" ref="AF19" si="140">MAX(AC19-AE19,0)</f>
        <v>0</v>
      </c>
      <c r="AG19" s="23" t="str">
        <f>IF(SUMPRODUCT($J$31:AF$31,$J19:AF19)&lt;0.5, "Pending", IF(AF19&lt;0.5, "Complete", "In Progress"))</f>
        <v>Complete</v>
      </c>
      <c r="AH19" s="22">
        <v>0</v>
      </c>
      <c r="AI19" s="22">
        <f t="shared" ref="AI19" si="141">MAX(AF19-AH19,0)</f>
        <v>0</v>
      </c>
      <c r="AJ19" s="23" t="str">
        <f>IF(SUMPRODUCT($J$31:AI$31,$J19:AI19)&lt;0.5, "Pending", IF(AI19&lt;0.5, "Complete", "In Progress"))</f>
        <v>Complete</v>
      </c>
      <c r="AK19" s="22">
        <v>0</v>
      </c>
      <c r="AL19" s="22">
        <f t="shared" ref="AL19" si="142">MAX(AI19-AK19,0)</f>
        <v>0</v>
      </c>
      <c r="AM19" s="23" t="str">
        <f>IF(SUMPRODUCT($J$31:AL$31,$J19:AL19)&lt;0.5, "Pending", IF(AL19&lt;0.5, "Complete", "In Progress"))</f>
        <v>Complete</v>
      </c>
      <c r="AN19" s="22">
        <v>0</v>
      </c>
      <c r="AO19" s="22">
        <f t="shared" ref="AO19" si="143">MAX(AL19-AN19,0)</f>
        <v>0</v>
      </c>
      <c r="AP19" s="23" t="str">
        <f>IF(SUMPRODUCT($J$31:AO$31,$J19:AO19)&lt;0.5, "Pending", IF(AO19&lt;0.5, "Complete", "In Progress"))</f>
        <v>Complete</v>
      </c>
      <c r="AQ19" s="22">
        <v>0</v>
      </c>
      <c r="AR19" s="22">
        <f t="shared" ref="AR19" si="144">MAX(AO19-AQ19,0)</f>
        <v>0</v>
      </c>
      <c r="AS19" s="23" t="str">
        <f>IF(SUMPRODUCT($J$31:AR$31,$J19:AR19)&lt;0.5, "Pending", IF(AR19&lt;0.5, "Complete", "In Progress"))</f>
        <v>Complete</v>
      </c>
      <c r="AT19" s="22">
        <v>0</v>
      </c>
      <c r="AU19" s="22">
        <f t="shared" ref="AU19" si="145">MAX(AR19-AT19,0)</f>
        <v>0</v>
      </c>
      <c r="AV19" s="23" t="str">
        <f>IF(SUMPRODUCT($J$31:AU$31,$J19:AU19)&lt;0.5, "Pending", IF(AU19&lt;0.5, "Complete", "In Progress"))</f>
        <v>Complete</v>
      </c>
      <c r="AW19" s="22">
        <v>0</v>
      </c>
      <c r="AX19" s="22">
        <f t="shared" ref="AX19" si="146">MAX(AU19-AW19,0)</f>
        <v>0</v>
      </c>
      <c r="AY19" s="23" t="str">
        <f>IF(SUMPRODUCT($J$31:AX$31,$J19:AX19)&lt;0.5, "Pending", IF(AX19&lt;0.5, "Complete", "In Progress"))</f>
        <v>Complete</v>
      </c>
      <c r="AZ19" s="22">
        <v>0</v>
      </c>
      <c r="BA19" s="22" t="e">
        <f>MAX(#REF!-AZ19,0)</f>
        <v>#REF!</v>
      </c>
      <c r="BB19" s="23" t="e">
        <f>IF(SUMPRODUCT($J$31:BA$31,$J19:BA19)&lt;0.5, "Pending", IF(BA19&lt;0.5, "Complete", "In Progress"))</f>
        <v>#REF!</v>
      </c>
      <c r="BC19" s="22">
        <v>0</v>
      </c>
      <c r="BD19" s="22" t="e">
        <f t="shared" ref="BD19" si="147">MAX(BA19-BC19,0)</f>
        <v>#REF!</v>
      </c>
      <c r="BE19" s="23" t="e">
        <f>IF(SUMPRODUCT($J$31:BD$31,$J19:BD19)&lt;0.5, "Pending", IF(BD19&lt;0.5, "Complete", "In Progress"))</f>
        <v>#REF!</v>
      </c>
      <c r="BF19" s="22">
        <v>0</v>
      </c>
      <c r="BG19" s="22" t="e">
        <f t="shared" ref="BG19" si="148">MAX(BD19-BF19,0)</f>
        <v>#REF!</v>
      </c>
      <c r="BH19" s="23" t="e">
        <f>IF(SUMPRODUCT($J$31:BG$31,$J19:BG19)&lt;0.5, "Pending", IF(BG19&lt;0.5, "Complete", "In Progress"))</f>
        <v>#REF!</v>
      </c>
      <c r="BI19" s="22">
        <v>0</v>
      </c>
      <c r="BJ19" s="22" t="e">
        <f t="shared" ref="BJ19" si="149">MAX(BG19-BI19,0)</f>
        <v>#REF!</v>
      </c>
      <c r="BK19" s="23" t="e">
        <f>IF(SUMPRODUCT($J$31:BJ$31,$J19:BJ19)&lt;0.5, "Pending", IF(BJ19&lt;0.5, "Complete", "In Progress"))</f>
        <v>#REF!</v>
      </c>
      <c r="BL19" s="22">
        <v>0</v>
      </c>
      <c r="BM19" s="22" t="e">
        <f t="shared" ref="BM19" si="150">MAX(BJ19-BL19,0)</f>
        <v>#REF!</v>
      </c>
      <c r="BN19" s="23" t="e">
        <f>IF(SUMPRODUCT($J$31:BM$31,$J19:BM19)&lt;0.5, "Pending", IF(BM19&lt;0.5, "Complete", "In Progress"))</f>
        <v>#REF!</v>
      </c>
      <c r="BO19" s="22">
        <v>0</v>
      </c>
      <c r="BP19" s="22" t="e">
        <f t="shared" ref="BP19" si="151">MAX(BM19-BO19,0)</f>
        <v>#REF!</v>
      </c>
      <c r="BQ19" s="23" t="e">
        <f>IF(SUMPRODUCT($J$31:BP$31,$J19:BP19)&lt;0.5, "Pending", IF(BP19&lt;0.5, "Complete", "In Progress"))</f>
        <v>#REF!</v>
      </c>
      <c r="BR19" s="22">
        <v>0</v>
      </c>
      <c r="BS19" s="22" t="e">
        <f t="shared" ref="BS19" si="152">MAX(BP19-BR19,0)</f>
        <v>#REF!</v>
      </c>
      <c r="BT19" s="23" t="e">
        <f>IF(SUMPRODUCT($J$31:BS$31,$J19:BS19)&lt;0.5, "Pending", IF(BS19&lt;0.5, "Complete", "In Progress"))</f>
        <v>#REF!</v>
      </c>
      <c r="BU19" s="22">
        <v>0</v>
      </c>
      <c r="BV19" s="22" t="e">
        <f t="shared" ref="BV19" si="153">MAX(BS19-BU19,0)</f>
        <v>#REF!</v>
      </c>
      <c r="BW19" s="23" t="e">
        <f>IF(SUMPRODUCT($J$31:BV$31,$J19:BV19)&lt;0.5, "Pending", IF(BV19&lt;0.5, "Complete", "In Progress"))</f>
        <v>#REF!</v>
      </c>
      <c r="BX19" s="22">
        <v>0</v>
      </c>
      <c r="BY19" s="22" t="e">
        <f t="shared" ref="BY19" si="154">MAX(BV19-BX19,0)</f>
        <v>#REF!</v>
      </c>
      <c r="BZ19" s="23" t="e">
        <f>IF(SUMPRODUCT($J$31:BY$31,$J19:BY19)&lt;0.5, "Pending", IF(BY19&lt;0.5, "Complete", "In Progress"))</f>
        <v>#REF!</v>
      </c>
      <c r="CA19" s="22">
        <v>0</v>
      </c>
      <c r="CB19" s="22" t="e">
        <f t="shared" ref="CB19" si="155">MAX(BY19-CA19,0)</f>
        <v>#REF!</v>
      </c>
      <c r="CC19" s="23" t="e">
        <f>IF(SUMPRODUCT($J$31:CB$31,$J19:CB19)&lt;0.5, "Pending", IF(CB19&lt;0.5, "Complete", "In Progress"))</f>
        <v>#REF!</v>
      </c>
      <c r="CD19" s="24"/>
      <c r="CE19" s="25">
        <f>SUMPRODUCT($H$31:AY$31,$H19:AY19)</f>
        <v>3</v>
      </c>
    </row>
    <row r="20" spans="1:83" ht="15" x14ac:dyDescent="0.2">
      <c r="A20" s="177" t="s">
        <v>106</v>
      </c>
      <c r="B20" s="177" t="s">
        <v>109</v>
      </c>
      <c r="C20" s="188" t="s">
        <v>164</v>
      </c>
      <c r="D20" s="178">
        <v>16</v>
      </c>
      <c r="E20" s="181" t="s">
        <v>166</v>
      </c>
      <c r="F20" s="180" t="s">
        <v>135</v>
      </c>
      <c r="G20" s="19" t="e">
        <f t="shared" ca="1" si="0"/>
        <v>#REF!</v>
      </c>
      <c r="H20" s="20">
        <v>1</v>
      </c>
      <c r="I20" s="21">
        <v>3</v>
      </c>
      <c r="J20" s="22">
        <v>0</v>
      </c>
      <c r="K20" s="22">
        <f t="shared" si="1"/>
        <v>3</v>
      </c>
      <c r="L20" s="23" t="str">
        <f>IF(SUMPRODUCT($J$31:K$31,$J20:K20)&lt;0.5, "Pending", IF(K20&lt;0.5, "Complete", "In Progress"))</f>
        <v>Pending</v>
      </c>
      <c r="M20" s="22">
        <v>0</v>
      </c>
      <c r="N20" s="22">
        <f t="shared" si="24"/>
        <v>3</v>
      </c>
      <c r="O20" s="23" t="str">
        <f>IF(SUMPRODUCT($J$31:N$31,$J20:N20)&lt;0.5, "Pending", IF(N20&lt;0.5, "Complete", "In Progress"))</f>
        <v>Pending</v>
      </c>
      <c r="P20" s="22">
        <v>0</v>
      </c>
      <c r="Q20" s="22">
        <f t="shared" si="25"/>
        <v>3</v>
      </c>
      <c r="R20" s="23" t="str">
        <f>IF(SUMPRODUCT($J$31:Q$31,$J20:Q20)&lt;0.5, "Pending", IF(Q20&lt;0.5, "Complete", "In Progress"))</f>
        <v>Pending</v>
      </c>
      <c r="S20" s="22">
        <v>0</v>
      </c>
      <c r="T20" s="22">
        <f t="shared" si="26"/>
        <v>3</v>
      </c>
      <c r="U20" s="23" t="str">
        <f>IF(SUMPRODUCT($J$31:T$31,$J20:T20)&lt;0.5, "Pending", IF(T20&lt;0.5, "Complete", "In Progress"))</f>
        <v>Pending</v>
      </c>
      <c r="V20" s="22">
        <v>0</v>
      </c>
      <c r="W20" s="22">
        <f t="shared" si="27"/>
        <v>3</v>
      </c>
      <c r="X20" s="23" t="str">
        <f>IF(SUMPRODUCT($J$31:W$31,$J20:W20)&lt;0.5, "Pending", IF(W20&lt;0.5, "Complete", "In Progress"))</f>
        <v>Pending</v>
      </c>
      <c r="Y20" s="22">
        <v>0</v>
      </c>
      <c r="Z20" s="22">
        <f t="shared" si="28"/>
        <v>3</v>
      </c>
      <c r="AA20" s="23" t="str">
        <f>IF(SUMPRODUCT($J$31:Z$31,$J20:Z20)&lt;0.5, "Pending", IF(Z20&lt;0.5, "Complete", "In Progress"))</f>
        <v>Pending</v>
      </c>
      <c r="AB20" s="22">
        <v>0</v>
      </c>
      <c r="AC20" s="22">
        <f t="shared" si="29"/>
        <v>3</v>
      </c>
      <c r="AD20" s="23" t="str">
        <f>IF(SUMPRODUCT($J$31:AC$31,$J20:AC20)&lt;0.5, "Pending", IF(AC20&lt;0.5, "Complete", "In Progress"))</f>
        <v>Pending</v>
      </c>
      <c r="AE20" s="22">
        <v>0</v>
      </c>
      <c r="AF20" s="22">
        <f t="shared" si="30"/>
        <v>3</v>
      </c>
      <c r="AG20" s="23" t="str">
        <f>IF(SUMPRODUCT($J$31:AF$31,$J20:AF20)&lt;0.5, "Pending", IF(AF20&lt;0.5, "Complete", "In Progress"))</f>
        <v>Pending</v>
      </c>
      <c r="AH20" s="22">
        <v>1</v>
      </c>
      <c r="AI20" s="22">
        <f t="shared" si="31"/>
        <v>2</v>
      </c>
      <c r="AJ20" s="23" t="str">
        <f>IF(SUMPRODUCT($J$31:AI$31,$J20:AI20)&lt;0.5, "Pending", IF(AI20&lt;0.5, "Complete", "In Progress"))</f>
        <v>In Progress</v>
      </c>
      <c r="AK20" s="22">
        <v>2</v>
      </c>
      <c r="AL20" s="22">
        <f t="shared" si="32"/>
        <v>0</v>
      </c>
      <c r="AM20" s="23" t="str">
        <f>IF(SUMPRODUCT($J$31:AL$31,$J20:AL20)&lt;0.5, "Pending", IF(AL20&lt;0.5, "Complete", "In Progress"))</f>
        <v>Complete</v>
      </c>
      <c r="AN20" s="22">
        <v>0</v>
      </c>
      <c r="AO20" s="22">
        <f t="shared" si="33"/>
        <v>0</v>
      </c>
      <c r="AP20" s="23" t="str">
        <f>IF(SUMPRODUCT($J$31:AO$31,$J20:AO20)&lt;0.5, "Pending", IF(AO20&lt;0.5, "Complete", "In Progress"))</f>
        <v>Complete</v>
      </c>
      <c r="AQ20" s="22">
        <v>0</v>
      </c>
      <c r="AR20" s="22">
        <f t="shared" si="34"/>
        <v>0</v>
      </c>
      <c r="AS20" s="23" t="str">
        <f>IF(SUMPRODUCT($J$31:AR$31,$J20:AR20)&lt;0.5, "Pending", IF(AR20&lt;0.5, "Complete", "In Progress"))</f>
        <v>Complete</v>
      </c>
      <c r="AT20" s="22">
        <v>0</v>
      </c>
      <c r="AU20" s="22">
        <f t="shared" si="35"/>
        <v>0</v>
      </c>
      <c r="AV20" s="23" t="str">
        <f>IF(SUMPRODUCT($J$31:AU$31,$J20:AU20)&lt;0.5, "Pending", IF(AU20&lt;0.5, "Complete", "In Progress"))</f>
        <v>Complete</v>
      </c>
      <c r="AW20" s="22">
        <v>0</v>
      </c>
      <c r="AX20" s="22">
        <f t="shared" si="36"/>
        <v>0</v>
      </c>
      <c r="AY20" s="23" t="str">
        <f>IF(SUMPRODUCT($J$31:AX$31,$J20:AX20)&lt;0.5, "Pending", IF(AX20&lt;0.5, "Complete", "In Progress"))</f>
        <v>Complete</v>
      </c>
      <c r="AZ20" s="22">
        <v>0</v>
      </c>
      <c r="BA20" s="22" t="e">
        <f>MAX(#REF!-AZ20,0)</f>
        <v>#REF!</v>
      </c>
      <c r="BB20" s="23" t="e">
        <f>IF(SUMPRODUCT($J$31:BA$31,$J20:BA20)&lt;0.5, "Pending", IF(BA20&lt;0.5, "Complete", "In Progress"))</f>
        <v>#REF!</v>
      </c>
      <c r="BC20" s="22">
        <v>0</v>
      </c>
      <c r="BD20" s="22" t="e">
        <f t="shared" si="37"/>
        <v>#REF!</v>
      </c>
      <c r="BE20" s="23" t="e">
        <f>IF(SUMPRODUCT($J$31:BD$31,$J20:BD20)&lt;0.5, "Pending", IF(BD20&lt;0.5, "Complete", "In Progress"))</f>
        <v>#REF!</v>
      </c>
      <c r="BF20" s="22">
        <v>0</v>
      </c>
      <c r="BG20" s="22" t="e">
        <f t="shared" si="38"/>
        <v>#REF!</v>
      </c>
      <c r="BH20" s="23" t="e">
        <f>IF(SUMPRODUCT($J$31:BG$31,$J20:BG20)&lt;0.5, "Pending", IF(BG20&lt;0.5, "Complete", "In Progress"))</f>
        <v>#REF!</v>
      </c>
      <c r="BI20" s="22">
        <v>0</v>
      </c>
      <c r="BJ20" s="22" t="e">
        <f t="shared" si="39"/>
        <v>#REF!</v>
      </c>
      <c r="BK20" s="23" t="e">
        <f>IF(SUMPRODUCT($J$31:BJ$31,$J20:BJ20)&lt;0.5, "Pending", IF(BJ20&lt;0.5, "Complete", "In Progress"))</f>
        <v>#REF!</v>
      </c>
      <c r="BL20" s="22">
        <v>0</v>
      </c>
      <c r="BM20" s="22" t="e">
        <f t="shared" si="40"/>
        <v>#REF!</v>
      </c>
      <c r="BN20" s="23" t="e">
        <f>IF(SUMPRODUCT($J$31:BM$31,$J20:BM20)&lt;0.5, "Pending", IF(BM20&lt;0.5, "Complete", "In Progress"))</f>
        <v>#REF!</v>
      </c>
      <c r="BO20" s="22">
        <v>0</v>
      </c>
      <c r="BP20" s="22" t="e">
        <f t="shared" si="41"/>
        <v>#REF!</v>
      </c>
      <c r="BQ20" s="23" t="e">
        <f>IF(SUMPRODUCT($J$31:BP$31,$J20:BP20)&lt;0.5, "Pending", IF(BP20&lt;0.5, "Complete", "In Progress"))</f>
        <v>#REF!</v>
      </c>
      <c r="BR20" s="22">
        <v>0</v>
      </c>
      <c r="BS20" s="22" t="e">
        <f t="shared" si="42"/>
        <v>#REF!</v>
      </c>
      <c r="BT20" s="23" t="e">
        <f>IF(SUMPRODUCT($J$31:BS$31,$J20:BS20)&lt;0.5, "Pending", IF(BS20&lt;0.5, "Complete", "In Progress"))</f>
        <v>#REF!</v>
      </c>
      <c r="BU20" s="22">
        <v>0</v>
      </c>
      <c r="BV20" s="22" t="e">
        <f t="shared" si="43"/>
        <v>#REF!</v>
      </c>
      <c r="BW20" s="23" t="e">
        <f>IF(SUMPRODUCT($J$31:BV$31,$J20:BV20)&lt;0.5, "Pending", IF(BV20&lt;0.5, "Complete", "In Progress"))</f>
        <v>#REF!</v>
      </c>
      <c r="BX20" s="22">
        <v>0</v>
      </c>
      <c r="BY20" s="22" t="e">
        <f t="shared" si="44"/>
        <v>#REF!</v>
      </c>
      <c r="BZ20" s="23" t="e">
        <f>IF(SUMPRODUCT($J$31:BY$31,$J20:BY20)&lt;0.5, "Pending", IF(BY20&lt;0.5, "Complete", "In Progress"))</f>
        <v>#REF!</v>
      </c>
      <c r="CA20" s="22">
        <v>0</v>
      </c>
      <c r="CB20" s="22" t="e">
        <f t="shared" si="45"/>
        <v>#REF!</v>
      </c>
      <c r="CC20" s="23" t="e">
        <f>IF(SUMPRODUCT($J$31:CB$31,$J20:CB20)&lt;0.5, "Pending", IF(CB20&lt;0.5, "Complete", "In Progress"))</f>
        <v>#REF!</v>
      </c>
      <c r="CD20" s="24"/>
      <c r="CE20" s="25">
        <f>SUMPRODUCT($H$31:AY$31,$H20:AY20)</f>
        <v>3</v>
      </c>
    </row>
    <row r="21" spans="1:83" ht="15" x14ac:dyDescent="0.2">
      <c r="A21" s="177" t="s">
        <v>106</v>
      </c>
      <c r="B21" s="177" t="s">
        <v>122</v>
      </c>
      <c r="C21" s="186" t="s">
        <v>173</v>
      </c>
      <c r="D21" s="178">
        <v>27</v>
      </c>
      <c r="E21" s="181" t="s">
        <v>133</v>
      </c>
      <c r="F21" s="180" t="s">
        <v>145</v>
      </c>
      <c r="G21" s="19"/>
      <c r="H21" s="20">
        <v>1</v>
      </c>
      <c r="I21" s="21">
        <v>5</v>
      </c>
      <c r="J21" s="22">
        <v>0</v>
      </c>
      <c r="K21" s="22">
        <v>5</v>
      </c>
      <c r="L21" s="23"/>
      <c r="M21" s="22">
        <v>0</v>
      </c>
      <c r="N21" s="22">
        <f t="shared" si="24"/>
        <v>5</v>
      </c>
      <c r="O21" s="23"/>
      <c r="P21" s="22">
        <v>0</v>
      </c>
      <c r="Q21" s="22">
        <f t="shared" si="25"/>
        <v>5</v>
      </c>
      <c r="R21" s="23"/>
      <c r="S21" s="22">
        <v>0</v>
      </c>
      <c r="T21" s="22">
        <f t="shared" si="26"/>
        <v>5</v>
      </c>
      <c r="U21" s="23"/>
      <c r="V21" s="22">
        <v>0</v>
      </c>
      <c r="W21" s="22">
        <f t="shared" si="27"/>
        <v>5</v>
      </c>
      <c r="X21" s="23"/>
      <c r="Y21" s="22">
        <v>0</v>
      </c>
      <c r="Z21" s="22">
        <f t="shared" si="28"/>
        <v>5</v>
      </c>
      <c r="AA21" s="23"/>
      <c r="AB21" s="22">
        <v>0</v>
      </c>
      <c r="AC21" s="22">
        <f t="shared" si="29"/>
        <v>5</v>
      </c>
      <c r="AD21" s="23"/>
      <c r="AE21" s="22">
        <v>1</v>
      </c>
      <c r="AF21" s="22">
        <f t="shared" si="30"/>
        <v>4</v>
      </c>
      <c r="AG21" s="23"/>
      <c r="AH21" s="22">
        <v>2</v>
      </c>
      <c r="AI21" s="22">
        <f t="shared" si="31"/>
        <v>2</v>
      </c>
      <c r="AJ21" s="23"/>
      <c r="AK21" s="22">
        <v>2</v>
      </c>
      <c r="AL21" s="22">
        <f t="shared" si="32"/>
        <v>0</v>
      </c>
      <c r="AM21" s="23"/>
      <c r="AN21" s="22"/>
      <c r="AO21" s="22"/>
      <c r="AP21" s="23"/>
      <c r="AQ21" s="22"/>
      <c r="AR21" s="22"/>
      <c r="AS21" s="23"/>
      <c r="AT21" s="22"/>
      <c r="AU21" s="22"/>
      <c r="AV21" s="23"/>
      <c r="AW21" s="22"/>
      <c r="AX21" s="22"/>
      <c r="AY21" s="23"/>
      <c r="AZ21" s="22"/>
      <c r="BA21" s="22"/>
      <c r="BB21" s="23"/>
      <c r="BC21" s="22"/>
      <c r="BD21" s="22"/>
      <c r="BE21" s="23"/>
      <c r="BF21" s="22"/>
      <c r="BG21" s="22"/>
      <c r="BH21" s="23"/>
      <c r="BI21" s="22"/>
      <c r="BJ21" s="22"/>
      <c r="BK21" s="23"/>
      <c r="BL21" s="22"/>
      <c r="BM21" s="22"/>
      <c r="BN21" s="23"/>
      <c r="BO21" s="22"/>
      <c r="BP21" s="22"/>
      <c r="BQ21" s="23"/>
      <c r="BR21" s="22"/>
      <c r="BS21" s="22"/>
      <c r="BT21" s="23"/>
      <c r="BU21" s="22"/>
      <c r="BV21" s="22"/>
      <c r="BW21" s="23"/>
      <c r="BX21" s="22"/>
      <c r="BY21" s="22"/>
      <c r="BZ21" s="23"/>
      <c r="CA21" s="22"/>
      <c r="CB21" s="22"/>
      <c r="CC21" s="23"/>
      <c r="CD21" s="24"/>
      <c r="CE21" s="25"/>
    </row>
    <row r="22" spans="1:83" ht="15" x14ac:dyDescent="0.2">
      <c r="A22" s="177" t="s">
        <v>107</v>
      </c>
      <c r="B22" s="177" t="s">
        <v>123</v>
      </c>
      <c r="C22" s="187" t="s">
        <v>181</v>
      </c>
      <c r="D22" s="178">
        <v>17</v>
      </c>
      <c r="E22" s="181" t="s">
        <v>180</v>
      </c>
      <c r="F22" s="180" t="s">
        <v>145</v>
      </c>
      <c r="G22" s="19" t="e">
        <f ca="1">(INDEX(Burndown,ROW(G22)-ROW(G$3),MIN(TODAY()-SprintStart,29)*3+3))</f>
        <v>#REF!</v>
      </c>
      <c r="H22" s="20">
        <v>1</v>
      </c>
      <c r="I22" s="21">
        <v>4</v>
      </c>
      <c r="J22" s="22">
        <v>0</v>
      </c>
      <c r="K22" s="22">
        <f>MAX(I22-J22, 0)</f>
        <v>4</v>
      </c>
      <c r="L22" s="23" t="str">
        <f>IF(SUMPRODUCT($J$31:K$31,$J22:K22)&lt;0.5, "Pending", IF(K22&lt;0.5, "Complete", "In Progress"))</f>
        <v>Pending</v>
      </c>
      <c r="M22" s="22">
        <v>0</v>
      </c>
      <c r="N22" s="22">
        <f t="shared" ref="N22" si="156">MAX(K22-M22,0)</f>
        <v>4</v>
      </c>
      <c r="O22" s="23" t="str">
        <f>IF(SUMPRODUCT($J$31:N$31,$J22:N22)&lt;0.5, "Pending", IF(N22&lt;0.5, "Complete", "In Progress"))</f>
        <v>Pending</v>
      </c>
      <c r="P22" s="22">
        <v>0</v>
      </c>
      <c r="Q22" s="22">
        <f t="shared" ref="Q22" si="157">MAX(N22-P22,0)</f>
        <v>4</v>
      </c>
      <c r="R22" s="23" t="str">
        <f>IF(SUMPRODUCT($J$31:Q$31,$J22:Q22)&lt;0.5, "Pending", IF(Q22&lt;0.5, "Complete", "In Progress"))</f>
        <v>Pending</v>
      </c>
      <c r="S22" s="22">
        <v>0</v>
      </c>
      <c r="T22" s="22">
        <f t="shared" ref="T22" si="158">MAX(Q22-S22,0)</f>
        <v>4</v>
      </c>
      <c r="U22" s="23" t="str">
        <f>IF(SUMPRODUCT($J$31:T$31,$J22:T22)&lt;0.5, "Pending", IF(T22&lt;0.5, "Complete", "In Progress"))</f>
        <v>Pending</v>
      </c>
      <c r="V22" s="22">
        <v>0</v>
      </c>
      <c r="W22" s="22">
        <f t="shared" ref="W22" si="159">MAX(T22-V22,0)</f>
        <v>4</v>
      </c>
      <c r="X22" s="23" t="str">
        <f>IF(SUMPRODUCT($J$31:W$31,$J22:W22)&lt;0.5, "Pending", IF(W22&lt;0.5, "Complete", "In Progress"))</f>
        <v>Pending</v>
      </c>
      <c r="Y22" s="22">
        <v>1</v>
      </c>
      <c r="Z22" s="22">
        <f t="shared" ref="Z22" si="160">MAX(W22-Y22,0)</f>
        <v>3</v>
      </c>
      <c r="AA22" s="23" t="str">
        <f>IF(SUMPRODUCT($J$31:Z$31,$J22:Z22)&lt;0.5, "Pending", IF(Z22&lt;0.5, "Complete", "In Progress"))</f>
        <v>In Progress</v>
      </c>
      <c r="AB22" s="22">
        <v>2</v>
      </c>
      <c r="AC22" s="22">
        <f t="shared" ref="AC22" si="161">MAX(Z22-AB22,0)</f>
        <v>1</v>
      </c>
      <c r="AD22" s="23" t="str">
        <f>IF(SUMPRODUCT($J$31:AC$31,$J22:AC22)&lt;0.5, "Pending", IF(AC22&lt;0.5, "Complete", "In Progress"))</f>
        <v>In Progress</v>
      </c>
      <c r="AE22" s="22">
        <v>1</v>
      </c>
      <c r="AF22" s="22">
        <f t="shared" ref="AF22" si="162">MAX(AC22-AE22,0)</f>
        <v>0</v>
      </c>
      <c r="AG22" s="23" t="str">
        <f>IF(SUMPRODUCT($J$31:AF$31,$J22:AF22)&lt;0.5, "Pending", IF(AF22&lt;0.5, "Complete", "In Progress"))</f>
        <v>Complete</v>
      </c>
      <c r="AH22" s="22">
        <v>0</v>
      </c>
      <c r="AI22" s="22">
        <f t="shared" ref="AI22" si="163">MAX(AF22-AH22,0)</f>
        <v>0</v>
      </c>
      <c r="AJ22" s="23" t="str">
        <f>IF(SUMPRODUCT($J$31:AI$31,$J22:AI22)&lt;0.5, "Pending", IF(AI22&lt;0.5, "Complete", "In Progress"))</f>
        <v>Complete</v>
      </c>
      <c r="AK22" s="22">
        <v>0</v>
      </c>
      <c r="AL22" s="22">
        <f t="shared" ref="AL22" si="164">MAX(AI22-AK22,0)</f>
        <v>0</v>
      </c>
      <c r="AM22" s="23" t="str">
        <f>IF(SUMPRODUCT($J$31:AL$31,$J22:AL22)&lt;0.5, "Pending", IF(AL22&lt;0.5, "Complete", "In Progress"))</f>
        <v>Complete</v>
      </c>
      <c r="AN22" s="22">
        <v>0</v>
      </c>
      <c r="AO22" s="22">
        <f t="shared" ref="AO22" si="165">MAX(AL22-AN22,0)</f>
        <v>0</v>
      </c>
      <c r="AP22" s="23" t="str">
        <f>IF(SUMPRODUCT($J$31:AO$31,$J22:AO22)&lt;0.5, "Pending", IF(AO22&lt;0.5, "Complete", "In Progress"))</f>
        <v>Complete</v>
      </c>
      <c r="AQ22" s="22">
        <v>0</v>
      </c>
      <c r="AR22" s="22">
        <f t="shared" ref="AR22" si="166">MAX(AO22-AQ22,0)</f>
        <v>0</v>
      </c>
      <c r="AS22" s="23" t="str">
        <f>IF(SUMPRODUCT($J$31:AR$31,$J22:AR22)&lt;0.5, "Pending", IF(AR22&lt;0.5, "Complete", "In Progress"))</f>
        <v>Complete</v>
      </c>
      <c r="AT22" s="22">
        <v>0</v>
      </c>
      <c r="AU22" s="22">
        <f t="shared" ref="AU22" si="167">MAX(AR22-AT22,0)</f>
        <v>0</v>
      </c>
      <c r="AV22" s="23" t="str">
        <f>IF(SUMPRODUCT($J$31:AU$31,$J22:AU22)&lt;0.5, "Pending", IF(AU22&lt;0.5, "Complete", "In Progress"))</f>
        <v>Complete</v>
      </c>
      <c r="AW22" s="22">
        <v>0</v>
      </c>
      <c r="AX22" s="22">
        <f t="shared" ref="AX22" si="168">MAX(AU22-AW22,0)</f>
        <v>0</v>
      </c>
      <c r="AY22" s="23" t="str">
        <f>IF(SUMPRODUCT($J$31:AX$31,$J22:AX22)&lt;0.5, "Pending", IF(AX22&lt;0.5, "Complete", "In Progress"))</f>
        <v>Complete</v>
      </c>
      <c r="AZ22" s="22">
        <v>0</v>
      </c>
      <c r="BA22" s="22" t="e">
        <f>MAX(#REF!-AZ22,0)</f>
        <v>#REF!</v>
      </c>
      <c r="BB22" s="23" t="e">
        <f>IF(SUMPRODUCT($J$31:BA$31,$J22:BA22)&lt;0.5, "Pending", IF(BA22&lt;0.5, "Complete", "In Progress"))</f>
        <v>#REF!</v>
      </c>
      <c r="BC22" s="22">
        <v>0</v>
      </c>
      <c r="BD22" s="22" t="e">
        <f t="shared" ref="BD22" si="169">MAX(BA22-BC22,0)</f>
        <v>#REF!</v>
      </c>
      <c r="BE22" s="23" t="e">
        <f>IF(SUMPRODUCT($J$31:BD$31,$J22:BD22)&lt;0.5, "Pending", IF(BD22&lt;0.5, "Complete", "In Progress"))</f>
        <v>#REF!</v>
      </c>
      <c r="BF22" s="22">
        <v>0</v>
      </c>
      <c r="BG22" s="22" t="e">
        <f t="shared" ref="BG22" si="170">MAX(BD22-BF22,0)</f>
        <v>#REF!</v>
      </c>
      <c r="BH22" s="23" t="e">
        <f>IF(SUMPRODUCT($J$31:BG$31,$J22:BG22)&lt;0.5, "Pending", IF(BG22&lt;0.5, "Complete", "In Progress"))</f>
        <v>#REF!</v>
      </c>
      <c r="BI22" s="22">
        <v>0</v>
      </c>
      <c r="BJ22" s="22" t="e">
        <f t="shared" ref="BJ22" si="171">MAX(BG22-BI22,0)</f>
        <v>#REF!</v>
      </c>
      <c r="BK22" s="23" t="e">
        <f>IF(SUMPRODUCT($J$31:BJ$31,$J22:BJ22)&lt;0.5, "Pending", IF(BJ22&lt;0.5, "Complete", "In Progress"))</f>
        <v>#REF!</v>
      </c>
      <c r="BL22" s="22">
        <v>0</v>
      </c>
      <c r="BM22" s="22" t="e">
        <f t="shared" ref="BM22" si="172">MAX(BJ22-BL22,0)</f>
        <v>#REF!</v>
      </c>
      <c r="BN22" s="23" t="e">
        <f>IF(SUMPRODUCT($J$31:BM$31,$J22:BM22)&lt;0.5, "Pending", IF(BM22&lt;0.5, "Complete", "In Progress"))</f>
        <v>#REF!</v>
      </c>
      <c r="BO22" s="22">
        <v>0</v>
      </c>
      <c r="BP22" s="22" t="e">
        <f t="shared" ref="BP22" si="173">MAX(BM22-BO22,0)</f>
        <v>#REF!</v>
      </c>
      <c r="BQ22" s="23" t="e">
        <f>IF(SUMPRODUCT($J$31:BP$31,$J22:BP22)&lt;0.5, "Pending", IF(BP22&lt;0.5, "Complete", "In Progress"))</f>
        <v>#REF!</v>
      </c>
      <c r="BR22" s="22">
        <v>0</v>
      </c>
      <c r="BS22" s="22" t="e">
        <f t="shared" ref="BS22" si="174">MAX(BP22-BR22,0)</f>
        <v>#REF!</v>
      </c>
      <c r="BT22" s="23" t="e">
        <f>IF(SUMPRODUCT($J$31:BS$31,$J22:BS22)&lt;0.5, "Pending", IF(BS22&lt;0.5, "Complete", "In Progress"))</f>
        <v>#REF!</v>
      </c>
      <c r="BU22" s="22">
        <v>0</v>
      </c>
      <c r="BV22" s="22" t="e">
        <f t="shared" ref="BV22" si="175">MAX(BS22-BU22,0)</f>
        <v>#REF!</v>
      </c>
      <c r="BW22" s="23" t="e">
        <f>IF(SUMPRODUCT($J$31:BV$31,$J22:BV22)&lt;0.5, "Pending", IF(BV22&lt;0.5, "Complete", "In Progress"))</f>
        <v>#REF!</v>
      </c>
      <c r="BX22" s="22">
        <v>0</v>
      </c>
      <c r="BY22" s="22" t="e">
        <f t="shared" ref="BY22" si="176">MAX(BV22-BX22,0)</f>
        <v>#REF!</v>
      </c>
      <c r="BZ22" s="23" t="e">
        <f>IF(SUMPRODUCT($J$31:BY$31,$J22:BY22)&lt;0.5, "Pending", IF(BY22&lt;0.5, "Complete", "In Progress"))</f>
        <v>#REF!</v>
      </c>
      <c r="CA22" s="22">
        <v>0</v>
      </c>
      <c r="CB22" s="22" t="e">
        <f t="shared" ref="CB22" si="177">MAX(BY22-CA22,0)</f>
        <v>#REF!</v>
      </c>
      <c r="CC22" s="23" t="e">
        <f>IF(SUMPRODUCT($J$31:CB$31,$J22:CB22)&lt;0.5, "Pending", IF(CB22&lt;0.5, "Complete", "In Progress"))</f>
        <v>#REF!</v>
      </c>
      <c r="CD22" s="24"/>
      <c r="CE22" s="25">
        <f>SUMPRODUCT($H$31:AY$31,$H22:AY22)</f>
        <v>4</v>
      </c>
    </row>
    <row r="23" spans="1:83" ht="15" x14ac:dyDescent="0.2">
      <c r="A23" s="177" t="s">
        <v>107</v>
      </c>
      <c r="B23" s="177" t="s">
        <v>123</v>
      </c>
      <c r="C23" s="189" t="s">
        <v>175</v>
      </c>
      <c r="D23" s="178">
        <v>18</v>
      </c>
      <c r="E23" s="181" t="s">
        <v>179</v>
      </c>
      <c r="F23" s="180" t="s">
        <v>167</v>
      </c>
      <c r="G23" s="19" t="e">
        <f t="shared" ca="1" si="0"/>
        <v>#REF!</v>
      </c>
      <c r="H23" s="20">
        <v>1</v>
      </c>
      <c r="I23" s="21">
        <v>2</v>
      </c>
      <c r="J23" s="22">
        <v>0</v>
      </c>
      <c r="K23" s="22">
        <v>2</v>
      </c>
      <c r="L23" s="23" t="str">
        <f>IF(SUMPRODUCT($J$31:K$31,$J23:K23)&lt;0.5, "Pending", IF(K23&lt;0.5, "Complete", "In Progress"))</f>
        <v>Pending</v>
      </c>
      <c r="M23" s="22">
        <v>0</v>
      </c>
      <c r="N23" s="22">
        <f t="shared" si="24"/>
        <v>2</v>
      </c>
      <c r="O23" s="23" t="str">
        <f>IF(SUMPRODUCT($J$31:N$31,$J23:N23)&lt;0.5, "Pending", IF(N23&lt;0.5, "Complete", "In Progress"))</f>
        <v>Pending</v>
      </c>
      <c r="P23" s="22">
        <v>0</v>
      </c>
      <c r="Q23" s="22">
        <f t="shared" si="25"/>
        <v>2</v>
      </c>
      <c r="R23" s="23" t="str">
        <f>IF(SUMPRODUCT($J$31:Q$31,$J23:Q23)&lt;0.5, "Pending", IF(Q23&lt;0.5, "Complete", "In Progress"))</f>
        <v>Pending</v>
      </c>
      <c r="S23" s="22">
        <v>0</v>
      </c>
      <c r="T23" s="22">
        <f t="shared" si="26"/>
        <v>2</v>
      </c>
      <c r="U23" s="23" t="str">
        <f>IF(SUMPRODUCT($J$31:T$31,$J23:T23)&lt;0.5, "Pending", IF(T23&lt;0.5, "Complete", "In Progress"))</f>
        <v>Pending</v>
      </c>
      <c r="V23" s="22">
        <v>0</v>
      </c>
      <c r="W23" s="22">
        <f t="shared" si="27"/>
        <v>2</v>
      </c>
      <c r="X23" s="23" t="str">
        <f>IF(SUMPRODUCT($J$31:W$31,$J23:W23)&lt;0.5, "Pending", IF(W23&lt;0.5, "Complete", "In Progress"))</f>
        <v>Pending</v>
      </c>
      <c r="Y23" s="22">
        <v>0</v>
      </c>
      <c r="Z23" s="22">
        <f t="shared" si="28"/>
        <v>2</v>
      </c>
      <c r="AA23" s="23" t="str">
        <f>IF(SUMPRODUCT($J$31:Z$31,$J23:Z23)&lt;0.5, "Pending", IF(Z23&lt;0.5, "Complete", "In Progress"))</f>
        <v>Pending</v>
      </c>
      <c r="AB23" s="22">
        <v>0</v>
      </c>
      <c r="AC23" s="22">
        <f t="shared" si="29"/>
        <v>2</v>
      </c>
      <c r="AD23" s="23" t="str">
        <f>IF(SUMPRODUCT($J$31:AC$31,$J23:AC23)&lt;0.5, "Pending", IF(AC23&lt;0.5, "Complete", "In Progress"))</f>
        <v>Pending</v>
      </c>
      <c r="AE23" s="22">
        <v>0</v>
      </c>
      <c r="AF23" s="22">
        <f t="shared" si="30"/>
        <v>2</v>
      </c>
      <c r="AG23" s="23" t="str">
        <f>IF(SUMPRODUCT($J$31:AF$31,$J23:AF23)&lt;0.5, "Pending", IF(AF23&lt;0.5, "Complete", "In Progress"))</f>
        <v>Pending</v>
      </c>
      <c r="AH23" s="22">
        <v>2</v>
      </c>
      <c r="AI23" s="22">
        <f t="shared" si="31"/>
        <v>0</v>
      </c>
      <c r="AJ23" s="23" t="str">
        <f>IF(SUMPRODUCT($J$31:AI$31,$J23:AI23)&lt;0.5, "Pending", IF(AI23&lt;0.5, "Complete", "In Progress"))</f>
        <v>Complete</v>
      </c>
      <c r="AK23" s="22">
        <v>0</v>
      </c>
      <c r="AL23" s="22">
        <f t="shared" si="32"/>
        <v>0</v>
      </c>
      <c r="AM23" s="23" t="str">
        <f>IF(SUMPRODUCT($J$31:AL$31,$J23:AL23)&lt;0.5, "Pending", IF(AL23&lt;0.5, "Complete", "In Progress"))</f>
        <v>Complete</v>
      </c>
      <c r="AN23" s="22">
        <v>0</v>
      </c>
      <c r="AO23" s="22">
        <f t="shared" si="33"/>
        <v>0</v>
      </c>
      <c r="AP23" s="23" t="str">
        <f>IF(SUMPRODUCT($J$31:AO$31,$J23:AO23)&lt;0.5, "Pending", IF(AO23&lt;0.5, "Complete", "In Progress"))</f>
        <v>Complete</v>
      </c>
      <c r="AQ23" s="22">
        <v>0</v>
      </c>
      <c r="AR23" s="22">
        <f t="shared" si="34"/>
        <v>0</v>
      </c>
      <c r="AS23" s="23" t="str">
        <f>IF(SUMPRODUCT($J$31:AR$31,$J23:AR23)&lt;0.5, "Pending", IF(AR23&lt;0.5, "Complete", "In Progress"))</f>
        <v>Complete</v>
      </c>
      <c r="AT23" s="22">
        <v>0</v>
      </c>
      <c r="AU23" s="22">
        <f t="shared" si="35"/>
        <v>0</v>
      </c>
      <c r="AV23" s="23" t="str">
        <f>IF(SUMPRODUCT($J$31:AU$31,$J23:AU23)&lt;0.5, "Pending", IF(AU23&lt;0.5, "Complete", "In Progress"))</f>
        <v>Complete</v>
      </c>
      <c r="AW23" s="22">
        <v>0</v>
      </c>
      <c r="AX23" s="22">
        <f t="shared" si="36"/>
        <v>0</v>
      </c>
      <c r="AY23" s="23" t="str">
        <f>IF(SUMPRODUCT($J$31:AX$31,$J23:AX23)&lt;0.5, "Pending", IF(AX23&lt;0.5, "Complete", "In Progress"))</f>
        <v>Complete</v>
      </c>
      <c r="AZ23" s="22">
        <v>0</v>
      </c>
      <c r="BA23" s="22" t="e">
        <f>MAX(#REF!-AZ23,0)</f>
        <v>#REF!</v>
      </c>
      <c r="BB23" s="23" t="e">
        <f>IF(SUMPRODUCT($J$31:BA$31,$J23:BA23)&lt;0.5, "Pending", IF(BA23&lt;0.5, "Complete", "In Progress"))</f>
        <v>#REF!</v>
      </c>
      <c r="BC23" s="22">
        <v>0</v>
      </c>
      <c r="BD23" s="22" t="e">
        <f t="shared" si="37"/>
        <v>#REF!</v>
      </c>
      <c r="BE23" s="23" t="e">
        <f>IF(SUMPRODUCT($J$31:BD$31,$J23:BD23)&lt;0.5, "Pending", IF(BD23&lt;0.5, "Complete", "In Progress"))</f>
        <v>#REF!</v>
      </c>
      <c r="BF23" s="22">
        <v>0</v>
      </c>
      <c r="BG23" s="22" t="e">
        <f t="shared" si="38"/>
        <v>#REF!</v>
      </c>
      <c r="BH23" s="23" t="e">
        <f>IF(SUMPRODUCT($J$31:BG$31,$J23:BG23)&lt;0.5, "Pending", IF(BG23&lt;0.5, "Complete", "In Progress"))</f>
        <v>#REF!</v>
      </c>
      <c r="BI23" s="22">
        <v>0</v>
      </c>
      <c r="BJ23" s="22" t="e">
        <f t="shared" si="39"/>
        <v>#REF!</v>
      </c>
      <c r="BK23" s="23" t="e">
        <f>IF(SUMPRODUCT($J$31:BJ$31,$J23:BJ23)&lt;0.5, "Pending", IF(BJ23&lt;0.5, "Complete", "In Progress"))</f>
        <v>#REF!</v>
      </c>
      <c r="BL23" s="22">
        <v>0</v>
      </c>
      <c r="BM23" s="22" t="e">
        <f t="shared" si="40"/>
        <v>#REF!</v>
      </c>
      <c r="BN23" s="23" t="e">
        <f>IF(SUMPRODUCT($J$31:BM$31,$J23:BM23)&lt;0.5, "Pending", IF(BM23&lt;0.5, "Complete", "In Progress"))</f>
        <v>#REF!</v>
      </c>
      <c r="BO23" s="22">
        <v>0</v>
      </c>
      <c r="BP23" s="22" t="e">
        <f t="shared" si="41"/>
        <v>#REF!</v>
      </c>
      <c r="BQ23" s="23" t="e">
        <f>IF(SUMPRODUCT($J$31:BP$31,$J23:BP23)&lt;0.5, "Pending", IF(BP23&lt;0.5, "Complete", "In Progress"))</f>
        <v>#REF!</v>
      </c>
      <c r="BR23" s="22">
        <v>0</v>
      </c>
      <c r="BS23" s="22" t="e">
        <f t="shared" si="42"/>
        <v>#REF!</v>
      </c>
      <c r="BT23" s="23" t="e">
        <f>IF(SUMPRODUCT($J$31:BS$31,$J23:BS23)&lt;0.5, "Pending", IF(BS23&lt;0.5, "Complete", "In Progress"))</f>
        <v>#REF!</v>
      </c>
      <c r="BU23" s="22">
        <v>0</v>
      </c>
      <c r="BV23" s="22" t="e">
        <f t="shared" si="43"/>
        <v>#REF!</v>
      </c>
      <c r="BW23" s="23" t="e">
        <f>IF(SUMPRODUCT($J$31:BV$31,$J23:BV23)&lt;0.5, "Pending", IF(BV23&lt;0.5, "Complete", "In Progress"))</f>
        <v>#REF!</v>
      </c>
      <c r="BX23" s="22">
        <v>0</v>
      </c>
      <c r="BY23" s="22" t="e">
        <f t="shared" si="44"/>
        <v>#REF!</v>
      </c>
      <c r="BZ23" s="23" t="e">
        <f>IF(SUMPRODUCT($J$31:BY$31,$J23:BY23)&lt;0.5, "Pending", IF(BY23&lt;0.5, "Complete", "In Progress"))</f>
        <v>#REF!</v>
      </c>
      <c r="CA23" s="22">
        <v>0</v>
      </c>
      <c r="CB23" s="22" t="e">
        <f t="shared" si="45"/>
        <v>#REF!</v>
      </c>
      <c r="CC23" s="23" t="e">
        <f>IF(SUMPRODUCT($J$31:CB$31,$J23:CB23)&lt;0.5, "Pending", IF(CB23&lt;0.5, "Complete", "In Progress"))</f>
        <v>#REF!</v>
      </c>
      <c r="CD23" s="24"/>
      <c r="CE23" s="25">
        <f>SUMPRODUCT($H$31:AY$31,$H23:AY23)</f>
        <v>2</v>
      </c>
    </row>
    <row r="24" spans="1:83" ht="15" x14ac:dyDescent="0.2">
      <c r="A24" s="177" t="s">
        <v>106</v>
      </c>
      <c r="B24" s="177" t="s">
        <v>122</v>
      </c>
      <c r="C24" s="187" t="s">
        <v>181</v>
      </c>
      <c r="D24" s="178">
        <v>19</v>
      </c>
      <c r="E24" s="181" t="s">
        <v>168</v>
      </c>
      <c r="F24" s="180" t="s">
        <v>145</v>
      </c>
      <c r="G24" s="19" t="e">
        <f t="shared" ca="1" si="0"/>
        <v>#REF!</v>
      </c>
      <c r="H24" s="20">
        <v>1</v>
      </c>
      <c r="I24" s="21">
        <v>5</v>
      </c>
      <c r="J24" s="22">
        <v>0</v>
      </c>
      <c r="K24" s="22">
        <f>MAX(I24-J24, 0)</f>
        <v>5</v>
      </c>
      <c r="L24" s="23" t="str">
        <f>IF(SUMPRODUCT($J$31:K$31,$J24:K24)&lt;0.5, "Pending", IF(K24&lt;0.5, "Complete", "In Progress"))</f>
        <v>Pending</v>
      </c>
      <c r="M24" s="22">
        <v>0</v>
      </c>
      <c r="N24" s="22">
        <f t="shared" ref="N24" si="178">MAX(K24-M24,0)</f>
        <v>5</v>
      </c>
      <c r="O24" s="23" t="str">
        <f>IF(SUMPRODUCT($J$31:N$31,$J24:N24)&lt;0.5, "Pending", IF(N24&lt;0.5, "Complete", "In Progress"))</f>
        <v>Pending</v>
      </c>
      <c r="P24" s="22">
        <v>2</v>
      </c>
      <c r="Q24" s="22">
        <f t="shared" ref="Q24" si="179">MAX(N24-P24,0)</f>
        <v>3</v>
      </c>
      <c r="R24" s="23" t="str">
        <f>IF(SUMPRODUCT($J$31:Q$31,$J24:Q24)&lt;0.5, "Pending", IF(Q24&lt;0.5, "Complete", "In Progress"))</f>
        <v>In Progress</v>
      </c>
      <c r="S24" s="22">
        <v>2</v>
      </c>
      <c r="T24" s="22">
        <f t="shared" ref="T24" si="180">MAX(Q24-S24,0)</f>
        <v>1</v>
      </c>
      <c r="U24" s="23" t="str">
        <f>IF(SUMPRODUCT($J$31:T$31,$J24:T24)&lt;0.5, "Pending", IF(T24&lt;0.5, "Complete", "In Progress"))</f>
        <v>In Progress</v>
      </c>
      <c r="V24" s="22">
        <v>1</v>
      </c>
      <c r="W24" s="22">
        <f t="shared" ref="W24" si="181">MAX(T24-V24,0)</f>
        <v>0</v>
      </c>
      <c r="X24" s="23" t="str">
        <f>IF(SUMPRODUCT($J$31:W$31,$J24:W24)&lt;0.5, "Pending", IF(W24&lt;0.5, "Complete", "In Progress"))</f>
        <v>Complete</v>
      </c>
      <c r="Y24" s="22">
        <v>0</v>
      </c>
      <c r="Z24" s="22">
        <f t="shared" ref="Z24" si="182">MAX(W24-Y24,0)</f>
        <v>0</v>
      </c>
      <c r="AA24" s="23" t="str">
        <f>IF(SUMPRODUCT($J$31:Z$31,$J24:Z24)&lt;0.5, "Pending", IF(Z24&lt;0.5, "Complete", "In Progress"))</f>
        <v>Complete</v>
      </c>
      <c r="AB24" s="22">
        <v>0</v>
      </c>
      <c r="AC24" s="22">
        <f t="shared" ref="AC24" si="183">MAX(Z24-AB24,0)</f>
        <v>0</v>
      </c>
      <c r="AD24" s="23" t="str">
        <f>IF(SUMPRODUCT($J$31:AC$31,$J24:AC24)&lt;0.5, "Pending", IF(AC24&lt;0.5, "Complete", "In Progress"))</f>
        <v>Complete</v>
      </c>
      <c r="AE24" s="22">
        <v>0</v>
      </c>
      <c r="AF24" s="22">
        <f t="shared" ref="AF24" si="184">MAX(AC24-AE24,0)</f>
        <v>0</v>
      </c>
      <c r="AG24" s="23" t="str">
        <f>IF(SUMPRODUCT($J$31:AF$31,$J24:AF24)&lt;0.5, "Pending", IF(AF24&lt;0.5, "Complete", "In Progress"))</f>
        <v>Complete</v>
      </c>
      <c r="AH24" s="22">
        <v>0</v>
      </c>
      <c r="AI24" s="22">
        <f t="shared" ref="AI24" si="185">MAX(AF24-AH24,0)</f>
        <v>0</v>
      </c>
      <c r="AJ24" s="23" t="str">
        <f>IF(SUMPRODUCT($J$31:AI$31,$J24:AI24)&lt;0.5, "Pending", IF(AI24&lt;0.5, "Complete", "In Progress"))</f>
        <v>Complete</v>
      </c>
      <c r="AK24" s="22">
        <v>0</v>
      </c>
      <c r="AL24" s="22">
        <f t="shared" ref="AL24" si="186">MAX(AI24-AK24,0)</f>
        <v>0</v>
      </c>
      <c r="AM24" s="23" t="str">
        <f>IF(SUMPRODUCT($J$31:AL$31,$J24:AL24)&lt;0.5, "Pending", IF(AL24&lt;0.5, "Complete", "In Progress"))</f>
        <v>Complete</v>
      </c>
      <c r="AN24" s="22">
        <v>0</v>
      </c>
      <c r="AO24" s="22">
        <f t="shared" ref="AO24" si="187">MAX(AL24-AN24,0)</f>
        <v>0</v>
      </c>
      <c r="AP24" s="23" t="str">
        <f>IF(SUMPRODUCT($J$31:AO$31,$J24:AO24)&lt;0.5, "Pending", IF(AO24&lt;0.5, "Complete", "In Progress"))</f>
        <v>Complete</v>
      </c>
      <c r="AQ24" s="22">
        <v>0</v>
      </c>
      <c r="AR24" s="22">
        <f t="shared" ref="AR24" si="188">MAX(AO24-AQ24,0)</f>
        <v>0</v>
      </c>
      <c r="AS24" s="23" t="str">
        <f>IF(SUMPRODUCT($J$31:AR$31,$J24:AR24)&lt;0.5, "Pending", IF(AR24&lt;0.5, "Complete", "In Progress"))</f>
        <v>Complete</v>
      </c>
      <c r="AT24" s="22">
        <v>0</v>
      </c>
      <c r="AU24" s="22">
        <f t="shared" ref="AU24" si="189">MAX(AR24-AT24,0)</f>
        <v>0</v>
      </c>
      <c r="AV24" s="23" t="str">
        <f>IF(SUMPRODUCT($J$31:AU$31,$J24:AU24)&lt;0.5, "Pending", IF(AU24&lt;0.5, "Complete", "In Progress"))</f>
        <v>Complete</v>
      </c>
      <c r="AW24" s="22">
        <v>0</v>
      </c>
      <c r="AX24" s="22">
        <f t="shared" ref="AX24" si="190">MAX(AU24-AW24,0)</f>
        <v>0</v>
      </c>
      <c r="AY24" s="23" t="str">
        <f>IF(SUMPRODUCT($J$31:AX$31,$J24:AX24)&lt;0.5, "Pending", IF(AX24&lt;0.5, "Complete", "In Progress"))</f>
        <v>Complete</v>
      </c>
      <c r="AZ24" s="22">
        <v>0</v>
      </c>
      <c r="BA24" s="22" t="e">
        <f>MAX(#REF!-AZ24,0)</f>
        <v>#REF!</v>
      </c>
      <c r="BB24" s="23" t="e">
        <f>IF(SUMPRODUCT($J$31:BA$31,$J24:BA24)&lt;0.5, "Pending", IF(BA24&lt;0.5, "Complete", "In Progress"))</f>
        <v>#REF!</v>
      </c>
      <c r="BC24" s="22">
        <v>0</v>
      </c>
      <c r="BD24" s="22" t="e">
        <f t="shared" ref="BD24" si="191">MAX(BA24-BC24,0)</f>
        <v>#REF!</v>
      </c>
      <c r="BE24" s="23" t="e">
        <f>IF(SUMPRODUCT($J$31:BD$31,$J24:BD24)&lt;0.5, "Pending", IF(BD24&lt;0.5, "Complete", "In Progress"))</f>
        <v>#REF!</v>
      </c>
      <c r="BF24" s="22">
        <v>0</v>
      </c>
      <c r="BG24" s="22" t="e">
        <f t="shared" ref="BG24" si="192">MAX(BD24-BF24,0)</f>
        <v>#REF!</v>
      </c>
      <c r="BH24" s="23" t="e">
        <f>IF(SUMPRODUCT($J$31:BG$31,$J24:BG24)&lt;0.5, "Pending", IF(BG24&lt;0.5, "Complete", "In Progress"))</f>
        <v>#REF!</v>
      </c>
      <c r="BI24" s="22">
        <v>0</v>
      </c>
      <c r="BJ24" s="22" t="e">
        <f t="shared" ref="BJ24" si="193">MAX(BG24-BI24,0)</f>
        <v>#REF!</v>
      </c>
      <c r="BK24" s="23" t="e">
        <f>IF(SUMPRODUCT($J$31:BJ$31,$J24:BJ24)&lt;0.5, "Pending", IF(BJ24&lt;0.5, "Complete", "In Progress"))</f>
        <v>#REF!</v>
      </c>
      <c r="BL24" s="22">
        <v>0</v>
      </c>
      <c r="BM24" s="22" t="e">
        <f t="shared" ref="BM24" si="194">MAX(BJ24-BL24,0)</f>
        <v>#REF!</v>
      </c>
      <c r="BN24" s="23" t="e">
        <f>IF(SUMPRODUCT($J$31:BM$31,$J24:BM24)&lt;0.5, "Pending", IF(BM24&lt;0.5, "Complete", "In Progress"))</f>
        <v>#REF!</v>
      </c>
      <c r="BO24" s="22">
        <v>0</v>
      </c>
      <c r="BP24" s="22" t="e">
        <f t="shared" ref="BP24" si="195">MAX(BM24-BO24,0)</f>
        <v>#REF!</v>
      </c>
      <c r="BQ24" s="23" t="e">
        <f>IF(SUMPRODUCT($J$31:BP$31,$J24:BP24)&lt;0.5, "Pending", IF(BP24&lt;0.5, "Complete", "In Progress"))</f>
        <v>#REF!</v>
      </c>
      <c r="BR24" s="22">
        <v>0</v>
      </c>
      <c r="BS24" s="22" t="e">
        <f t="shared" ref="BS24" si="196">MAX(BP24-BR24,0)</f>
        <v>#REF!</v>
      </c>
      <c r="BT24" s="23" t="e">
        <f>IF(SUMPRODUCT($J$31:BS$31,$J24:BS24)&lt;0.5, "Pending", IF(BS24&lt;0.5, "Complete", "In Progress"))</f>
        <v>#REF!</v>
      </c>
      <c r="BU24" s="22">
        <v>0</v>
      </c>
      <c r="BV24" s="22" t="e">
        <f t="shared" ref="BV24" si="197">MAX(BS24-BU24,0)</f>
        <v>#REF!</v>
      </c>
      <c r="BW24" s="23" t="e">
        <f>IF(SUMPRODUCT($J$31:BV$31,$J24:BV24)&lt;0.5, "Pending", IF(BV24&lt;0.5, "Complete", "In Progress"))</f>
        <v>#REF!</v>
      </c>
      <c r="BX24" s="22">
        <v>0</v>
      </c>
      <c r="BY24" s="22" t="e">
        <f t="shared" ref="BY24" si="198">MAX(BV24-BX24,0)</f>
        <v>#REF!</v>
      </c>
      <c r="BZ24" s="23" t="e">
        <f>IF(SUMPRODUCT($J$31:BY$31,$J24:BY24)&lt;0.5, "Pending", IF(BY24&lt;0.5, "Complete", "In Progress"))</f>
        <v>#REF!</v>
      </c>
      <c r="CA24" s="22">
        <v>0</v>
      </c>
      <c r="CB24" s="22" t="e">
        <f t="shared" ref="CB24" si="199">MAX(BY24-CA24,0)</f>
        <v>#REF!</v>
      </c>
      <c r="CC24" s="23" t="e">
        <f>IF(SUMPRODUCT($J$31:CB$31,$J24:CB24)&lt;0.5, "Pending", IF(CB24&lt;0.5, "Complete", "In Progress"))</f>
        <v>#REF!</v>
      </c>
      <c r="CD24" s="24"/>
      <c r="CE24" s="25">
        <f>SUMPRODUCT($H$31:AY$31,$H24:AY24)</f>
        <v>5</v>
      </c>
    </row>
    <row r="25" spans="1:83" ht="15" x14ac:dyDescent="0.2">
      <c r="A25" s="177" t="s">
        <v>107</v>
      </c>
      <c r="B25" s="177" t="s">
        <v>123</v>
      </c>
      <c r="C25" s="185" t="s">
        <v>174</v>
      </c>
      <c r="D25" s="178">
        <v>19</v>
      </c>
      <c r="E25" s="181" t="s">
        <v>169</v>
      </c>
      <c r="F25" s="180" t="s">
        <v>167</v>
      </c>
      <c r="G25" s="19" t="e">
        <f t="shared" ca="1" si="0"/>
        <v>#REF!</v>
      </c>
      <c r="H25" s="20">
        <v>1</v>
      </c>
      <c r="I25" s="21">
        <v>3</v>
      </c>
      <c r="J25" s="22">
        <v>0</v>
      </c>
      <c r="K25" s="22">
        <f>MAX(I25-J25, 0)</f>
        <v>3</v>
      </c>
      <c r="L25" s="23" t="str">
        <f>IF(SUMPRODUCT($J$31:K$31,$J25:K25)&lt;0.5, "Pending", IF(K25&lt;0.5, "Complete", "In Progress"))</f>
        <v>Pending</v>
      </c>
      <c r="M25" s="22">
        <v>0</v>
      </c>
      <c r="N25" s="22">
        <f t="shared" si="24"/>
        <v>3</v>
      </c>
      <c r="O25" s="23" t="str">
        <f>IF(SUMPRODUCT($J$31:N$31,$J25:N25)&lt;0.5, "Pending", IF(N25&lt;0.5, "Complete", "In Progress"))</f>
        <v>Pending</v>
      </c>
      <c r="P25" s="22">
        <v>0</v>
      </c>
      <c r="Q25" s="22">
        <f t="shared" si="25"/>
        <v>3</v>
      </c>
      <c r="R25" s="23" t="str">
        <f>IF(SUMPRODUCT($J$31:Q$31,$J25:Q25)&lt;0.5, "Pending", IF(Q25&lt;0.5, "Complete", "In Progress"))</f>
        <v>Pending</v>
      </c>
      <c r="S25" s="22">
        <v>0</v>
      </c>
      <c r="T25" s="22">
        <f t="shared" si="26"/>
        <v>3</v>
      </c>
      <c r="U25" s="23" t="str">
        <f>IF(SUMPRODUCT($J$31:T$31,$J25:T25)&lt;0.5, "Pending", IF(T25&lt;0.5, "Complete", "In Progress"))</f>
        <v>Pending</v>
      </c>
      <c r="V25" s="22">
        <v>0</v>
      </c>
      <c r="W25" s="22">
        <f t="shared" si="27"/>
        <v>3</v>
      </c>
      <c r="X25" s="23" t="str">
        <f>IF(SUMPRODUCT($J$31:W$31,$J25:W25)&lt;0.5, "Pending", IF(W25&lt;0.5, "Complete", "In Progress"))</f>
        <v>Pending</v>
      </c>
      <c r="Y25" s="22">
        <v>0</v>
      </c>
      <c r="Z25" s="22">
        <f t="shared" si="28"/>
        <v>3</v>
      </c>
      <c r="AA25" s="23" t="str">
        <f>IF(SUMPRODUCT($J$31:Z$31,$J25:Z25)&lt;0.5, "Pending", IF(Z25&lt;0.5, "Complete", "In Progress"))</f>
        <v>Pending</v>
      </c>
      <c r="AB25" s="22">
        <v>2</v>
      </c>
      <c r="AC25" s="22">
        <f t="shared" si="29"/>
        <v>1</v>
      </c>
      <c r="AD25" s="23" t="str">
        <f>IF(SUMPRODUCT($J$31:AC$31,$J25:AC25)&lt;0.5, "Pending", IF(AC25&lt;0.5, "Complete", "In Progress"))</f>
        <v>In Progress</v>
      </c>
      <c r="AE25" s="22">
        <v>1</v>
      </c>
      <c r="AF25" s="22">
        <f t="shared" si="30"/>
        <v>0</v>
      </c>
      <c r="AG25" s="23" t="str">
        <f>IF(SUMPRODUCT($J$31:AF$31,$J25:AF25)&lt;0.5, "Pending", IF(AF25&lt;0.5, "Complete", "In Progress"))</f>
        <v>Complete</v>
      </c>
      <c r="AH25" s="22">
        <v>0</v>
      </c>
      <c r="AI25" s="22">
        <f t="shared" si="31"/>
        <v>0</v>
      </c>
      <c r="AJ25" s="23" t="str">
        <f>IF(SUMPRODUCT($J$31:AI$31,$J25:AI25)&lt;0.5, "Pending", IF(AI25&lt;0.5, "Complete", "In Progress"))</f>
        <v>Complete</v>
      </c>
      <c r="AK25" s="22">
        <v>0</v>
      </c>
      <c r="AL25" s="22">
        <f t="shared" si="32"/>
        <v>0</v>
      </c>
      <c r="AM25" s="23" t="str">
        <f>IF(SUMPRODUCT($J$31:AL$31,$J25:AL25)&lt;0.5, "Pending", IF(AL25&lt;0.5, "Complete", "In Progress"))</f>
        <v>Complete</v>
      </c>
      <c r="AN25" s="22">
        <v>0</v>
      </c>
      <c r="AO25" s="22">
        <f t="shared" si="33"/>
        <v>0</v>
      </c>
      <c r="AP25" s="23" t="str">
        <f>IF(SUMPRODUCT($J$31:AO$31,$J25:AO25)&lt;0.5, "Pending", IF(AO25&lt;0.5, "Complete", "In Progress"))</f>
        <v>Complete</v>
      </c>
      <c r="AQ25" s="22">
        <v>0</v>
      </c>
      <c r="AR25" s="22">
        <f t="shared" si="34"/>
        <v>0</v>
      </c>
      <c r="AS25" s="23" t="str">
        <f>IF(SUMPRODUCT($J$31:AR$31,$J25:AR25)&lt;0.5, "Pending", IF(AR25&lt;0.5, "Complete", "In Progress"))</f>
        <v>Complete</v>
      </c>
      <c r="AT25" s="22">
        <v>0</v>
      </c>
      <c r="AU25" s="22">
        <f t="shared" si="35"/>
        <v>0</v>
      </c>
      <c r="AV25" s="23" t="str">
        <f>IF(SUMPRODUCT($J$31:AU$31,$J25:AU25)&lt;0.5, "Pending", IF(AU25&lt;0.5, "Complete", "In Progress"))</f>
        <v>Complete</v>
      </c>
      <c r="AW25" s="22">
        <v>0</v>
      </c>
      <c r="AX25" s="22">
        <f t="shared" si="36"/>
        <v>0</v>
      </c>
      <c r="AY25" s="23" t="str">
        <f>IF(SUMPRODUCT($J$31:AX$31,$J25:AX25)&lt;0.5, "Pending", IF(AX25&lt;0.5, "Complete", "In Progress"))</f>
        <v>Complete</v>
      </c>
      <c r="AZ25" s="22">
        <v>0</v>
      </c>
      <c r="BA25" s="22" t="e">
        <f>MAX(#REF!-AZ25,0)</f>
        <v>#REF!</v>
      </c>
      <c r="BB25" s="23" t="e">
        <f>IF(SUMPRODUCT($J$31:BA$31,$J25:BA25)&lt;0.5, "Pending", IF(BA25&lt;0.5, "Complete", "In Progress"))</f>
        <v>#REF!</v>
      </c>
      <c r="BC25" s="22">
        <v>0</v>
      </c>
      <c r="BD25" s="22" t="e">
        <f t="shared" si="37"/>
        <v>#REF!</v>
      </c>
      <c r="BE25" s="23" t="e">
        <f>IF(SUMPRODUCT($J$31:BD$31,$J25:BD25)&lt;0.5, "Pending", IF(BD25&lt;0.5, "Complete", "In Progress"))</f>
        <v>#REF!</v>
      </c>
      <c r="BF25" s="22">
        <v>0</v>
      </c>
      <c r="BG25" s="22" t="e">
        <f t="shared" si="38"/>
        <v>#REF!</v>
      </c>
      <c r="BH25" s="23" t="e">
        <f>IF(SUMPRODUCT($J$31:BG$31,$J25:BG25)&lt;0.5, "Pending", IF(BG25&lt;0.5, "Complete", "In Progress"))</f>
        <v>#REF!</v>
      </c>
      <c r="BI25" s="22">
        <v>0</v>
      </c>
      <c r="BJ25" s="22" t="e">
        <f t="shared" si="39"/>
        <v>#REF!</v>
      </c>
      <c r="BK25" s="23" t="e">
        <f>IF(SUMPRODUCT($J$31:BJ$31,$J25:BJ25)&lt;0.5, "Pending", IF(BJ25&lt;0.5, "Complete", "In Progress"))</f>
        <v>#REF!</v>
      </c>
      <c r="BL25" s="22">
        <v>0</v>
      </c>
      <c r="BM25" s="22" t="e">
        <f t="shared" si="40"/>
        <v>#REF!</v>
      </c>
      <c r="BN25" s="23" t="e">
        <f>IF(SUMPRODUCT($J$31:BM$31,$J25:BM25)&lt;0.5, "Pending", IF(BM25&lt;0.5, "Complete", "In Progress"))</f>
        <v>#REF!</v>
      </c>
      <c r="BO25" s="22">
        <v>0</v>
      </c>
      <c r="BP25" s="22" t="e">
        <f t="shared" si="41"/>
        <v>#REF!</v>
      </c>
      <c r="BQ25" s="23" t="e">
        <f>IF(SUMPRODUCT($J$31:BP$31,$J25:BP25)&lt;0.5, "Pending", IF(BP25&lt;0.5, "Complete", "In Progress"))</f>
        <v>#REF!</v>
      </c>
      <c r="BR25" s="22">
        <v>0</v>
      </c>
      <c r="BS25" s="22" t="e">
        <f t="shared" si="42"/>
        <v>#REF!</v>
      </c>
      <c r="BT25" s="23" t="e">
        <f>IF(SUMPRODUCT($J$31:BS$31,$J25:BS25)&lt;0.5, "Pending", IF(BS25&lt;0.5, "Complete", "In Progress"))</f>
        <v>#REF!</v>
      </c>
      <c r="BU25" s="22">
        <v>0</v>
      </c>
      <c r="BV25" s="22" t="e">
        <f t="shared" si="43"/>
        <v>#REF!</v>
      </c>
      <c r="BW25" s="23" t="e">
        <f>IF(SUMPRODUCT($J$31:BV$31,$J25:BV25)&lt;0.5, "Pending", IF(BV25&lt;0.5, "Complete", "In Progress"))</f>
        <v>#REF!</v>
      </c>
      <c r="BX25" s="22">
        <v>0</v>
      </c>
      <c r="BY25" s="22" t="e">
        <f t="shared" si="44"/>
        <v>#REF!</v>
      </c>
      <c r="BZ25" s="23" t="e">
        <f>IF(SUMPRODUCT($J$31:BY$31,$J25:BY25)&lt;0.5, "Pending", IF(BY25&lt;0.5, "Complete", "In Progress"))</f>
        <v>#REF!</v>
      </c>
      <c r="CA25" s="22">
        <v>0</v>
      </c>
      <c r="CB25" s="22" t="e">
        <f t="shared" si="45"/>
        <v>#REF!</v>
      </c>
      <c r="CC25" s="23" t="e">
        <f>IF(SUMPRODUCT($J$31:CB$31,$J25:CB25)&lt;0.5, "Pending", IF(CB25&lt;0.5, "Complete", "In Progress"))</f>
        <v>#REF!</v>
      </c>
      <c r="CD25" s="24"/>
      <c r="CE25" s="25">
        <f>SUMPRODUCT($H$31:AY$31,$H25:AY25)</f>
        <v>3</v>
      </c>
    </row>
    <row r="26" spans="1:83" ht="15" x14ac:dyDescent="0.2">
      <c r="A26" s="177" t="s">
        <v>106</v>
      </c>
      <c r="B26" s="177" t="s">
        <v>122</v>
      </c>
      <c r="C26" s="190" t="s">
        <v>176</v>
      </c>
      <c r="D26" s="178">
        <v>19</v>
      </c>
      <c r="E26" s="181" t="s">
        <v>177</v>
      </c>
      <c r="F26" s="180" t="s">
        <v>167</v>
      </c>
      <c r="G26" s="19" t="e">
        <f t="shared" ca="1" si="0"/>
        <v>#REF!</v>
      </c>
      <c r="H26" s="20">
        <v>1</v>
      </c>
      <c r="I26" s="21">
        <v>5</v>
      </c>
      <c r="J26" s="22">
        <v>0</v>
      </c>
      <c r="K26" s="22">
        <f>MAX(I26-J26, 0)</f>
        <v>5</v>
      </c>
      <c r="L26" s="23" t="str">
        <f>IF(SUMPRODUCT($J$31:K$31,$J26:K26)&lt;0.5, "Pending", IF(K26&lt;0.5, "Complete", "In Progress"))</f>
        <v>Pending</v>
      </c>
      <c r="M26" s="22">
        <v>0</v>
      </c>
      <c r="N26" s="22">
        <f t="shared" si="24"/>
        <v>5</v>
      </c>
      <c r="O26" s="23" t="str">
        <f>IF(SUMPRODUCT($J$31:N$31,$J26:N26)&lt;0.5, "Pending", IF(N26&lt;0.5, "Complete", "In Progress"))</f>
        <v>Pending</v>
      </c>
      <c r="P26" s="22">
        <v>0</v>
      </c>
      <c r="Q26" s="22">
        <f t="shared" si="25"/>
        <v>5</v>
      </c>
      <c r="R26" s="23" t="str">
        <f>IF(SUMPRODUCT($J$31:Q$31,$J26:Q26)&lt;0.5, "Pending", IF(Q26&lt;0.5, "Complete", "In Progress"))</f>
        <v>Pending</v>
      </c>
      <c r="S26" s="22">
        <v>0</v>
      </c>
      <c r="T26" s="22">
        <f t="shared" si="26"/>
        <v>5</v>
      </c>
      <c r="U26" s="23" t="str">
        <f>IF(SUMPRODUCT($J$31:T$31,$J26:T26)&lt;0.5, "Pending", IF(T26&lt;0.5, "Complete", "In Progress"))</f>
        <v>Pending</v>
      </c>
      <c r="V26" s="22">
        <v>0</v>
      </c>
      <c r="W26" s="22">
        <f t="shared" si="27"/>
        <v>5</v>
      </c>
      <c r="X26" s="23" t="str">
        <f>IF(SUMPRODUCT($J$31:W$31,$J26:W26)&lt;0.5, "Pending", IF(W26&lt;0.5, "Complete", "In Progress"))</f>
        <v>Pending</v>
      </c>
      <c r="Y26" s="22">
        <v>2</v>
      </c>
      <c r="Z26" s="22">
        <f t="shared" si="28"/>
        <v>3</v>
      </c>
      <c r="AA26" s="23" t="str">
        <f>IF(SUMPRODUCT($J$31:Z$31,$J26:Z26)&lt;0.5, "Pending", IF(Z26&lt;0.5, "Complete", "In Progress"))</f>
        <v>In Progress</v>
      </c>
      <c r="AB26" s="22">
        <v>0</v>
      </c>
      <c r="AC26" s="22">
        <f t="shared" si="29"/>
        <v>3</v>
      </c>
      <c r="AD26" s="23" t="str">
        <f>IF(SUMPRODUCT($J$31:AC$31,$J26:AC26)&lt;0.5, "Pending", IF(AC26&lt;0.5, "Complete", "In Progress"))</f>
        <v>In Progress</v>
      </c>
      <c r="AE26" s="22">
        <v>1</v>
      </c>
      <c r="AF26" s="22">
        <f t="shared" si="30"/>
        <v>2</v>
      </c>
      <c r="AG26" s="23" t="str">
        <f>IF(SUMPRODUCT($J$31:AF$31,$J26:AF26)&lt;0.5, "Pending", IF(AF26&lt;0.5, "Complete", "In Progress"))</f>
        <v>In Progress</v>
      </c>
      <c r="AH26" s="22">
        <v>0</v>
      </c>
      <c r="AI26" s="22">
        <f t="shared" si="31"/>
        <v>2</v>
      </c>
      <c r="AJ26" s="23" t="str">
        <f>IF(SUMPRODUCT($J$31:AI$31,$J26:AI26)&lt;0.5, "Pending", IF(AI26&lt;0.5, "Complete", "In Progress"))</f>
        <v>In Progress</v>
      </c>
      <c r="AK26" s="22">
        <v>2</v>
      </c>
      <c r="AL26" s="22">
        <f t="shared" si="32"/>
        <v>0</v>
      </c>
      <c r="AM26" s="23" t="str">
        <f>IF(SUMPRODUCT($J$31:AL$31,$J26:AL26)&lt;0.5, "Pending", IF(AL26&lt;0.5, "Complete", "In Progress"))</f>
        <v>Complete</v>
      </c>
      <c r="AN26" s="22">
        <v>0</v>
      </c>
      <c r="AO26" s="22">
        <f t="shared" si="33"/>
        <v>0</v>
      </c>
      <c r="AP26" s="23" t="str">
        <f>IF(SUMPRODUCT($J$31:AO$31,$J26:AO26)&lt;0.5, "Pending", IF(AO26&lt;0.5, "Complete", "In Progress"))</f>
        <v>Complete</v>
      </c>
      <c r="AQ26" s="22">
        <v>0</v>
      </c>
      <c r="AR26" s="22">
        <f t="shared" si="34"/>
        <v>0</v>
      </c>
      <c r="AS26" s="23" t="str">
        <f>IF(SUMPRODUCT($J$31:AR$31,$J26:AR26)&lt;0.5, "Pending", IF(AR26&lt;0.5, "Complete", "In Progress"))</f>
        <v>Complete</v>
      </c>
      <c r="AT26" s="22">
        <v>0</v>
      </c>
      <c r="AU26" s="22">
        <f t="shared" si="35"/>
        <v>0</v>
      </c>
      <c r="AV26" s="23" t="str">
        <f>IF(SUMPRODUCT($J$31:AU$31,$J26:AU26)&lt;0.5, "Pending", IF(AU26&lt;0.5, "Complete", "In Progress"))</f>
        <v>Complete</v>
      </c>
      <c r="AW26" s="22">
        <v>0</v>
      </c>
      <c r="AX26" s="22">
        <f t="shared" si="36"/>
        <v>0</v>
      </c>
      <c r="AY26" s="23" t="str">
        <f>IF(SUMPRODUCT($J$31:AX$31,$J26:AX26)&lt;0.5, "Pending", IF(AX26&lt;0.5, "Complete", "In Progress"))</f>
        <v>Complete</v>
      </c>
      <c r="AZ26" s="22">
        <v>0</v>
      </c>
      <c r="BA26" s="22" t="e">
        <f>MAX(#REF!-AZ26,0)</f>
        <v>#REF!</v>
      </c>
      <c r="BB26" s="23" t="e">
        <f>IF(SUMPRODUCT($J$31:BA$31,$J26:BA26)&lt;0.5, "Pending", IF(BA26&lt;0.5, "Complete", "In Progress"))</f>
        <v>#REF!</v>
      </c>
      <c r="BC26" s="22">
        <v>0</v>
      </c>
      <c r="BD26" s="22" t="e">
        <f t="shared" si="37"/>
        <v>#REF!</v>
      </c>
      <c r="BE26" s="23" t="e">
        <f>IF(SUMPRODUCT($J$31:BD$31,$J26:BD26)&lt;0.5, "Pending", IF(BD26&lt;0.5, "Complete", "In Progress"))</f>
        <v>#REF!</v>
      </c>
      <c r="BF26" s="22">
        <v>0</v>
      </c>
      <c r="BG26" s="22" t="e">
        <f t="shared" si="38"/>
        <v>#REF!</v>
      </c>
      <c r="BH26" s="23" t="e">
        <f>IF(SUMPRODUCT($J$31:BG$31,$J26:BG26)&lt;0.5, "Pending", IF(BG26&lt;0.5, "Complete", "In Progress"))</f>
        <v>#REF!</v>
      </c>
      <c r="BI26" s="22">
        <v>0</v>
      </c>
      <c r="BJ26" s="22" t="e">
        <f t="shared" si="39"/>
        <v>#REF!</v>
      </c>
      <c r="BK26" s="23" t="e">
        <f>IF(SUMPRODUCT($J$31:BJ$31,$J26:BJ26)&lt;0.5, "Pending", IF(BJ26&lt;0.5, "Complete", "In Progress"))</f>
        <v>#REF!</v>
      </c>
      <c r="BL26" s="22">
        <v>0</v>
      </c>
      <c r="BM26" s="22" t="e">
        <f t="shared" si="40"/>
        <v>#REF!</v>
      </c>
      <c r="BN26" s="23" t="e">
        <f>IF(SUMPRODUCT($J$31:BM$31,$J26:BM26)&lt;0.5, "Pending", IF(BM26&lt;0.5, "Complete", "In Progress"))</f>
        <v>#REF!</v>
      </c>
      <c r="BO26" s="22">
        <v>0</v>
      </c>
      <c r="BP26" s="22" t="e">
        <f t="shared" si="41"/>
        <v>#REF!</v>
      </c>
      <c r="BQ26" s="23" t="e">
        <f>IF(SUMPRODUCT($J$31:BP$31,$J26:BP26)&lt;0.5, "Pending", IF(BP26&lt;0.5, "Complete", "In Progress"))</f>
        <v>#REF!</v>
      </c>
      <c r="BR26" s="22">
        <v>0</v>
      </c>
      <c r="BS26" s="22" t="e">
        <f t="shared" si="42"/>
        <v>#REF!</v>
      </c>
      <c r="BT26" s="23" t="e">
        <f>IF(SUMPRODUCT($J$31:BS$31,$J26:BS26)&lt;0.5, "Pending", IF(BS26&lt;0.5, "Complete", "In Progress"))</f>
        <v>#REF!</v>
      </c>
      <c r="BU26" s="22">
        <v>0</v>
      </c>
      <c r="BV26" s="22" t="e">
        <f t="shared" si="43"/>
        <v>#REF!</v>
      </c>
      <c r="BW26" s="23" t="e">
        <f>IF(SUMPRODUCT($J$31:BV$31,$J26:BV26)&lt;0.5, "Pending", IF(BV26&lt;0.5, "Complete", "In Progress"))</f>
        <v>#REF!</v>
      </c>
      <c r="BX26" s="22">
        <v>0</v>
      </c>
      <c r="BY26" s="22" t="e">
        <f t="shared" si="44"/>
        <v>#REF!</v>
      </c>
      <c r="BZ26" s="23" t="e">
        <f>IF(SUMPRODUCT($J$31:BY$31,$J26:BY26)&lt;0.5, "Pending", IF(BY26&lt;0.5, "Complete", "In Progress"))</f>
        <v>#REF!</v>
      </c>
      <c r="CA26" s="22">
        <v>0</v>
      </c>
      <c r="CB26" s="22" t="e">
        <f t="shared" si="45"/>
        <v>#REF!</v>
      </c>
      <c r="CC26" s="23" t="e">
        <f>IF(SUMPRODUCT($J$31:CB$31,$J26:CB26)&lt;0.5, "Pending", IF(CB26&lt;0.5, "Complete", "In Progress"))</f>
        <v>#REF!</v>
      </c>
      <c r="CD26" s="24"/>
      <c r="CE26" s="25">
        <f>SUMPRODUCT($H$31:AY$31,$H26:AY26)</f>
        <v>5</v>
      </c>
    </row>
    <row r="27" spans="1:83" ht="15" x14ac:dyDescent="0.2">
      <c r="A27" s="177" t="s">
        <v>106</v>
      </c>
      <c r="B27" s="177" t="s">
        <v>122</v>
      </c>
      <c r="C27" s="185" t="s">
        <v>174</v>
      </c>
      <c r="D27" s="178">
        <v>19</v>
      </c>
      <c r="E27" s="181" t="s">
        <v>152</v>
      </c>
      <c r="F27" s="180" t="s">
        <v>167</v>
      </c>
      <c r="G27" s="19" t="e">
        <f t="shared" ca="1" si="0"/>
        <v>#REF!</v>
      </c>
      <c r="H27" s="20">
        <v>1</v>
      </c>
      <c r="I27" s="21">
        <v>5</v>
      </c>
      <c r="J27" s="22">
        <v>2</v>
      </c>
      <c r="K27" s="22">
        <f>MAX(I27-J27, 0)</f>
        <v>3</v>
      </c>
      <c r="L27" s="23" t="str">
        <f>IF(SUMPRODUCT($J$31:K$31,$J27:K27)&lt;0.5, "Pending", IF(K27&lt;0.5, "Complete", "In Progress"))</f>
        <v>In Progress</v>
      </c>
      <c r="M27" s="22">
        <v>2</v>
      </c>
      <c r="N27" s="22">
        <f t="shared" si="24"/>
        <v>1</v>
      </c>
      <c r="O27" s="23" t="str">
        <f>IF(SUMPRODUCT($J$31:N$31,$J27:N27)&lt;0.5, "Pending", IF(N27&lt;0.5, "Complete", "In Progress"))</f>
        <v>In Progress</v>
      </c>
      <c r="P27" s="22">
        <v>1</v>
      </c>
      <c r="Q27" s="22">
        <f t="shared" si="25"/>
        <v>0</v>
      </c>
      <c r="R27" s="23" t="str">
        <f>IF(SUMPRODUCT($J$31:Q$31,$J27:Q27)&lt;0.5, "Pending", IF(Q27&lt;0.5, "Complete", "In Progress"))</f>
        <v>Complete</v>
      </c>
      <c r="S27" s="22">
        <v>0</v>
      </c>
      <c r="T27" s="22">
        <f t="shared" si="26"/>
        <v>0</v>
      </c>
      <c r="U27" s="23" t="str">
        <f>IF(SUMPRODUCT($J$31:T$31,$J27:T27)&lt;0.5, "Pending", IF(T27&lt;0.5, "Complete", "In Progress"))</f>
        <v>Complete</v>
      </c>
      <c r="V27" s="22">
        <v>0</v>
      </c>
      <c r="W27" s="22">
        <f t="shared" si="27"/>
        <v>0</v>
      </c>
      <c r="X27" s="23" t="str">
        <f>IF(SUMPRODUCT($J$31:W$31,$J27:W27)&lt;0.5, "Pending", IF(W27&lt;0.5, "Complete", "In Progress"))</f>
        <v>Complete</v>
      </c>
      <c r="Y27" s="22">
        <v>0</v>
      </c>
      <c r="Z27" s="22">
        <f t="shared" si="28"/>
        <v>0</v>
      </c>
      <c r="AA27" s="23" t="str">
        <f>IF(SUMPRODUCT($J$31:Z$31,$J27:Z27)&lt;0.5, "Pending", IF(Z27&lt;0.5, "Complete", "In Progress"))</f>
        <v>Complete</v>
      </c>
      <c r="AB27" s="22">
        <v>0</v>
      </c>
      <c r="AC27" s="22">
        <f t="shared" si="29"/>
        <v>0</v>
      </c>
      <c r="AD27" s="23" t="str">
        <f>IF(SUMPRODUCT($J$31:AC$31,$J27:AC27)&lt;0.5, "Pending", IF(AC27&lt;0.5, "Complete", "In Progress"))</f>
        <v>Complete</v>
      </c>
      <c r="AE27" s="22">
        <v>0</v>
      </c>
      <c r="AF27" s="22">
        <f t="shared" si="30"/>
        <v>0</v>
      </c>
      <c r="AG27" s="23" t="str">
        <f>IF(SUMPRODUCT($J$31:AF$31,$J27:AF27)&lt;0.5, "Pending", IF(AF27&lt;0.5, "Complete", "In Progress"))</f>
        <v>Complete</v>
      </c>
      <c r="AH27" s="22">
        <v>0</v>
      </c>
      <c r="AI27" s="22">
        <f t="shared" si="31"/>
        <v>0</v>
      </c>
      <c r="AJ27" s="23" t="str">
        <f>IF(SUMPRODUCT($J$31:AI$31,$J27:AI27)&lt;0.5, "Pending", IF(AI27&lt;0.5, "Complete", "In Progress"))</f>
        <v>Complete</v>
      </c>
      <c r="AK27" s="22">
        <v>0</v>
      </c>
      <c r="AL27" s="22">
        <f t="shared" si="32"/>
        <v>0</v>
      </c>
      <c r="AM27" s="23" t="str">
        <f>IF(SUMPRODUCT($J$31:AL$31,$J27:AL27)&lt;0.5, "Pending", IF(AL27&lt;0.5, "Complete", "In Progress"))</f>
        <v>Complete</v>
      </c>
      <c r="AN27" s="22">
        <v>0</v>
      </c>
      <c r="AO27" s="22">
        <f t="shared" si="33"/>
        <v>0</v>
      </c>
      <c r="AP27" s="23" t="str">
        <f>IF(SUMPRODUCT($J$31:AO$31,$J27:AO27)&lt;0.5, "Pending", IF(AO27&lt;0.5, "Complete", "In Progress"))</f>
        <v>Complete</v>
      </c>
      <c r="AQ27" s="22">
        <v>0</v>
      </c>
      <c r="AR27" s="22">
        <f t="shared" si="34"/>
        <v>0</v>
      </c>
      <c r="AS27" s="23" t="str">
        <f>IF(SUMPRODUCT($J$31:AR$31,$J27:AR27)&lt;0.5, "Pending", IF(AR27&lt;0.5, "Complete", "In Progress"))</f>
        <v>Complete</v>
      </c>
      <c r="AT27" s="22">
        <v>0</v>
      </c>
      <c r="AU27" s="22">
        <f t="shared" si="35"/>
        <v>0</v>
      </c>
      <c r="AV27" s="23" t="str">
        <f>IF(SUMPRODUCT($J$31:AU$31,$J27:AU27)&lt;0.5, "Pending", IF(AU27&lt;0.5, "Complete", "In Progress"))</f>
        <v>Complete</v>
      </c>
      <c r="AW27" s="22">
        <v>0</v>
      </c>
      <c r="AX27" s="22">
        <f t="shared" si="36"/>
        <v>0</v>
      </c>
      <c r="AY27" s="23" t="str">
        <f>IF(SUMPRODUCT($J$31:AX$31,$J27:AX27)&lt;0.5, "Pending", IF(AX27&lt;0.5, "Complete", "In Progress"))</f>
        <v>Complete</v>
      </c>
      <c r="AZ27" s="22">
        <v>0</v>
      </c>
      <c r="BA27" s="22" t="e">
        <f>MAX(#REF!-AZ27,0)</f>
        <v>#REF!</v>
      </c>
      <c r="BB27" s="23" t="e">
        <f>IF(SUMPRODUCT($J$31:BA$31,$J27:BA27)&lt;0.5, "Pending", IF(BA27&lt;0.5, "Complete", "In Progress"))</f>
        <v>#REF!</v>
      </c>
      <c r="BC27" s="22">
        <v>0</v>
      </c>
      <c r="BD27" s="22" t="e">
        <f t="shared" si="37"/>
        <v>#REF!</v>
      </c>
      <c r="BE27" s="23" t="e">
        <f>IF(SUMPRODUCT($J$31:BD$31,$J27:BD27)&lt;0.5, "Pending", IF(BD27&lt;0.5, "Complete", "In Progress"))</f>
        <v>#REF!</v>
      </c>
      <c r="BF27" s="22">
        <v>0</v>
      </c>
      <c r="BG27" s="22" t="e">
        <f t="shared" si="38"/>
        <v>#REF!</v>
      </c>
      <c r="BH27" s="23" t="e">
        <f>IF(SUMPRODUCT($J$31:BG$31,$J27:BG27)&lt;0.5, "Pending", IF(BG27&lt;0.5, "Complete", "In Progress"))</f>
        <v>#REF!</v>
      </c>
      <c r="BI27" s="22">
        <v>0</v>
      </c>
      <c r="BJ27" s="22" t="e">
        <f t="shared" si="39"/>
        <v>#REF!</v>
      </c>
      <c r="BK27" s="23" t="e">
        <f>IF(SUMPRODUCT($J$31:BJ$31,$J27:BJ27)&lt;0.5, "Pending", IF(BJ27&lt;0.5, "Complete", "In Progress"))</f>
        <v>#REF!</v>
      </c>
      <c r="BL27" s="22">
        <v>0</v>
      </c>
      <c r="BM27" s="22" t="e">
        <f t="shared" si="40"/>
        <v>#REF!</v>
      </c>
      <c r="BN27" s="23" t="e">
        <f>IF(SUMPRODUCT($J$31:BM$31,$J27:BM27)&lt;0.5, "Pending", IF(BM27&lt;0.5, "Complete", "In Progress"))</f>
        <v>#REF!</v>
      </c>
      <c r="BO27" s="22">
        <v>0</v>
      </c>
      <c r="BP27" s="22" t="e">
        <f t="shared" si="41"/>
        <v>#REF!</v>
      </c>
      <c r="BQ27" s="23" t="e">
        <f>IF(SUMPRODUCT($J$31:BP$31,$J27:BP27)&lt;0.5, "Pending", IF(BP27&lt;0.5, "Complete", "In Progress"))</f>
        <v>#REF!</v>
      </c>
      <c r="BR27" s="22">
        <v>0</v>
      </c>
      <c r="BS27" s="22" t="e">
        <f t="shared" si="42"/>
        <v>#REF!</v>
      </c>
      <c r="BT27" s="23" t="e">
        <f>IF(SUMPRODUCT($J$31:BS$31,$J27:BS27)&lt;0.5, "Pending", IF(BS27&lt;0.5, "Complete", "In Progress"))</f>
        <v>#REF!</v>
      </c>
      <c r="BU27" s="22">
        <v>0</v>
      </c>
      <c r="BV27" s="22" t="e">
        <f t="shared" si="43"/>
        <v>#REF!</v>
      </c>
      <c r="BW27" s="23" t="e">
        <f>IF(SUMPRODUCT($J$31:BV$31,$J27:BV27)&lt;0.5, "Pending", IF(BV27&lt;0.5, "Complete", "In Progress"))</f>
        <v>#REF!</v>
      </c>
      <c r="BX27" s="22">
        <v>0</v>
      </c>
      <c r="BY27" s="22" t="e">
        <f t="shared" si="44"/>
        <v>#REF!</v>
      </c>
      <c r="BZ27" s="23" t="e">
        <f>IF(SUMPRODUCT($J$31:BY$31,$J27:BY27)&lt;0.5, "Pending", IF(BY27&lt;0.5, "Complete", "In Progress"))</f>
        <v>#REF!</v>
      </c>
      <c r="CA27" s="22">
        <v>0</v>
      </c>
      <c r="CB27" s="22" t="e">
        <f t="shared" si="45"/>
        <v>#REF!</v>
      </c>
      <c r="CC27" s="23" t="e">
        <f>IF(SUMPRODUCT($J$31:CB$31,$J27:CB27)&lt;0.5, "Pending", IF(CB27&lt;0.5, "Complete", "In Progress"))</f>
        <v>#REF!</v>
      </c>
      <c r="CD27" s="24"/>
      <c r="CE27" s="25">
        <f>SUMPRODUCT($H$31:AY$31,$H27:AY27)</f>
        <v>5</v>
      </c>
    </row>
    <row r="28" spans="1:83" ht="15" x14ac:dyDescent="0.2">
      <c r="A28" s="177" t="s">
        <v>107</v>
      </c>
      <c r="B28" s="177" t="s">
        <v>123</v>
      </c>
      <c r="C28" s="186" t="s">
        <v>173</v>
      </c>
      <c r="D28" s="178">
        <v>20</v>
      </c>
      <c r="E28" s="181" t="s">
        <v>178</v>
      </c>
      <c r="F28" s="180" t="s">
        <v>167</v>
      </c>
      <c r="G28" s="19" t="e">
        <f t="shared" ca="1" si="0"/>
        <v>#REF!</v>
      </c>
      <c r="H28" s="20">
        <v>1</v>
      </c>
      <c r="I28" s="21">
        <v>5</v>
      </c>
      <c r="J28" s="22">
        <v>0</v>
      </c>
      <c r="K28" s="22">
        <f>MAX(I28-J28, 0)</f>
        <v>5</v>
      </c>
      <c r="L28" s="23" t="str">
        <f>IF(SUMPRODUCT($J$31:K$31,$J28:K28)&lt;0.5, "Pending", IF(K28&lt;0.5, "Complete", "In Progress"))</f>
        <v>Pending</v>
      </c>
      <c r="M28" s="22">
        <v>0</v>
      </c>
      <c r="N28" s="22">
        <f t="shared" si="24"/>
        <v>5</v>
      </c>
      <c r="O28" s="23" t="str">
        <f>IF(SUMPRODUCT($J$31:N$31,$J28:N28)&lt;0.5, "Pending", IF(N28&lt;0.5, "Complete", "In Progress"))</f>
        <v>Pending</v>
      </c>
      <c r="P28" s="22">
        <v>1</v>
      </c>
      <c r="Q28" s="22">
        <f t="shared" si="25"/>
        <v>4</v>
      </c>
      <c r="R28" s="23" t="str">
        <f>IF(SUMPRODUCT($J$31:Q$31,$J28:Q28)&lt;0.5, "Pending", IF(Q28&lt;0.5, "Complete", "In Progress"))</f>
        <v>In Progress</v>
      </c>
      <c r="S28" s="22">
        <v>2</v>
      </c>
      <c r="T28" s="22">
        <f t="shared" si="26"/>
        <v>2</v>
      </c>
      <c r="U28" s="23" t="str">
        <f>IF(SUMPRODUCT($J$31:T$31,$J28:T28)&lt;0.5, "Pending", IF(T28&lt;0.5, "Complete", "In Progress"))</f>
        <v>In Progress</v>
      </c>
      <c r="V28" s="22">
        <v>2</v>
      </c>
      <c r="W28" s="22">
        <f t="shared" si="27"/>
        <v>0</v>
      </c>
      <c r="X28" s="23" t="str">
        <f>IF(SUMPRODUCT($J$31:W$31,$J28:W28)&lt;0.5, "Pending", IF(W28&lt;0.5, "Complete", "In Progress"))</f>
        <v>Complete</v>
      </c>
      <c r="Y28" s="22">
        <v>0</v>
      </c>
      <c r="Z28" s="22">
        <f t="shared" si="28"/>
        <v>0</v>
      </c>
      <c r="AA28" s="23" t="str">
        <f>IF(SUMPRODUCT($J$31:Z$31,$J28:Z28)&lt;0.5, "Pending", IF(Z28&lt;0.5, "Complete", "In Progress"))</f>
        <v>Complete</v>
      </c>
      <c r="AB28" s="22">
        <v>0</v>
      </c>
      <c r="AC28" s="22">
        <f t="shared" si="29"/>
        <v>0</v>
      </c>
      <c r="AD28" s="23" t="str">
        <f>IF(SUMPRODUCT($J$31:AC$31,$J28:AC28)&lt;0.5, "Pending", IF(AC28&lt;0.5, "Complete", "In Progress"))</f>
        <v>Complete</v>
      </c>
      <c r="AE28" s="22">
        <v>0</v>
      </c>
      <c r="AF28" s="22">
        <f t="shared" si="30"/>
        <v>0</v>
      </c>
      <c r="AG28" s="23" t="str">
        <f>IF(SUMPRODUCT($J$31:AF$31,$J28:AF28)&lt;0.5, "Pending", IF(AF28&lt;0.5, "Complete", "In Progress"))</f>
        <v>Complete</v>
      </c>
      <c r="AH28" s="22">
        <v>0</v>
      </c>
      <c r="AI28" s="22">
        <f t="shared" si="31"/>
        <v>0</v>
      </c>
      <c r="AJ28" s="23" t="str">
        <f>IF(SUMPRODUCT($J$31:AI$31,$J28:AI28)&lt;0.5, "Pending", IF(AI28&lt;0.5, "Complete", "In Progress"))</f>
        <v>Complete</v>
      </c>
      <c r="AK28" s="22">
        <v>0</v>
      </c>
      <c r="AL28" s="22">
        <f t="shared" si="32"/>
        <v>0</v>
      </c>
      <c r="AM28" s="23" t="str">
        <f>IF(SUMPRODUCT($J$31:AL$31,$J28:AL28)&lt;0.5, "Pending", IF(AL28&lt;0.5, "Complete", "In Progress"))</f>
        <v>Complete</v>
      </c>
      <c r="AN28" s="22">
        <v>0</v>
      </c>
      <c r="AO28" s="22">
        <f t="shared" si="33"/>
        <v>0</v>
      </c>
      <c r="AP28" s="23" t="str">
        <f>IF(SUMPRODUCT($J$31:AO$31,$J28:AO28)&lt;0.5, "Pending", IF(AO28&lt;0.5, "Complete", "In Progress"))</f>
        <v>Complete</v>
      </c>
      <c r="AQ28" s="22">
        <v>0</v>
      </c>
      <c r="AR28" s="22">
        <f t="shared" si="34"/>
        <v>0</v>
      </c>
      <c r="AS28" s="23" t="str">
        <f>IF(SUMPRODUCT($J$31:AR$31,$J28:AR28)&lt;0.5, "Pending", IF(AR28&lt;0.5, "Complete", "In Progress"))</f>
        <v>Complete</v>
      </c>
      <c r="AT28" s="22">
        <v>0</v>
      </c>
      <c r="AU28" s="22">
        <f t="shared" si="35"/>
        <v>0</v>
      </c>
      <c r="AV28" s="23" t="str">
        <f>IF(SUMPRODUCT($J$31:AU$31,$J28:AU28)&lt;0.5, "Pending", IF(AU28&lt;0.5, "Complete", "In Progress"))</f>
        <v>Complete</v>
      </c>
      <c r="AW28" s="22">
        <v>0</v>
      </c>
      <c r="AX28" s="22">
        <f t="shared" si="36"/>
        <v>0</v>
      </c>
      <c r="AY28" s="23" t="str">
        <f>IF(SUMPRODUCT($J$31:AX$31,$J28:AX28)&lt;0.5, "Pending", IF(AX28&lt;0.5, "Complete", "In Progress"))</f>
        <v>Complete</v>
      </c>
      <c r="AZ28" s="22">
        <v>0</v>
      </c>
      <c r="BA28" s="22" t="e">
        <f>MAX(#REF!-AZ28,0)</f>
        <v>#REF!</v>
      </c>
      <c r="BB28" s="23" t="e">
        <f>IF(SUMPRODUCT($J$31:BA$31,$J28:BA28)&lt;0.5, "Pending", IF(BA28&lt;0.5, "Complete", "In Progress"))</f>
        <v>#REF!</v>
      </c>
      <c r="BC28" s="22">
        <v>0</v>
      </c>
      <c r="BD28" s="22" t="e">
        <f t="shared" si="37"/>
        <v>#REF!</v>
      </c>
      <c r="BE28" s="23" t="e">
        <f>IF(SUMPRODUCT($J$31:BD$31,$J28:BD28)&lt;0.5, "Pending", IF(BD28&lt;0.5, "Complete", "In Progress"))</f>
        <v>#REF!</v>
      </c>
      <c r="BF28" s="22">
        <v>0</v>
      </c>
      <c r="BG28" s="22" t="e">
        <f t="shared" si="38"/>
        <v>#REF!</v>
      </c>
      <c r="BH28" s="23" t="e">
        <f>IF(SUMPRODUCT($J$31:BG$31,$J28:BG28)&lt;0.5, "Pending", IF(BG28&lt;0.5, "Complete", "In Progress"))</f>
        <v>#REF!</v>
      </c>
      <c r="BI28" s="22">
        <v>0</v>
      </c>
      <c r="BJ28" s="22" t="e">
        <f t="shared" si="39"/>
        <v>#REF!</v>
      </c>
      <c r="BK28" s="23" t="e">
        <f>IF(SUMPRODUCT($J$31:BJ$31,$J28:BJ28)&lt;0.5, "Pending", IF(BJ28&lt;0.5, "Complete", "In Progress"))</f>
        <v>#REF!</v>
      </c>
      <c r="BL28" s="22">
        <v>0</v>
      </c>
      <c r="BM28" s="22" t="e">
        <f t="shared" si="40"/>
        <v>#REF!</v>
      </c>
      <c r="BN28" s="23" t="e">
        <f>IF(SUMPRODUCT($J$31:BM$31,$J28:BM28)&lt;0.5, "Pending", IF(BM28&lt;0.5, "Complete", "In Progress"))</f>
        <v>#REF!</v>
      </c>
      <c r="BO28" s="22">
        <v>0</v>
      </c>
      <c r="BP28" s="22" t="e">
        <f t="shared" si="41"/>
        <v>#REF!</v>
      </c>
      <c r="BQ28" s="23" t="e">
        <f>IF(SUMPRODUCT($J$31:BP$31,$J28:BP28)&lt;0.5, "Pending", IF(BP28&lt;0.5, "Complete", "In Progress"))</f>
        <v>#REF!</v>
      </c>
      <c r="BR28" s="22">
        <v>0</v>
      </c>
      <c r="BS28" s="22" t="e">
        <f t="shared" si="42"/>
        <v>#REF!</v>
      </c>
      <c r="BT28" s="23" t="e">
        <f>IF(SUMPRODUCT($J$31:BS$31,$J28:BS28)&lt;0.5, "Pending", IF(BS28&lt;0.5, "Complete", "In Progress"))</f>
        <v>#REF!</v>
      </c>
      <c r="BU28" s="22">
        <v>0</v>
      </c>
      <c r="BV28" s="22" t="e">
        <f t="shared" si="43"/>
        <v>#REF!</v>
      </c>
      <c r="BW28" s="23" t="e">
        <f>IF(SUMPRODUCT($J$31:BV$31,$J28:BV28)&lt;0.5, "Pending", IF(BV28&lt;0.5, "Complete", "In Progress"))</f>
        <v>#REF!</v>
      </c>
      <c r="BX28" s="22">
        <v>0</v>
      </c>
      <c r="BY28" s="22" t="e">
        <f t="shared" si="44"/>
        <v>#REF!</v>
      </c>
      <c r="BZ28" s="23" t="e">
        <f>IF(SUMPRODUCT($J$31:BY$31,$J28:BY28)&lt;0.5, "Pending", IF(BY28&lt;0.5, "Complete", "In Progress"))</f>
        <v>#REF!</v>
      </c>
      <c r="CA28" s="22">
        <v>0</v>
      </c>
      <c r="CB28" s="22" t="e">
        <f t="shared" si="45"/>
        <v>#REF!</v>
      </c>
      <c r="CC28" s="23" t="e">
        <f>IF(SUMPRODUCT($J$31:CB$31,$J28:CB28)&lt;0.5, "Pending", IF(CB28&lt;0.5, "Complete", "In Progress"))</f>
        <v>#REF!</v>
      </c>
      <c r="CD28" s="24"/>
      <c r="CE28" s="25">
        <f>SUMPRODUCT($H$31:AY$31,$H28:AY28)</f>
        <v>5</v>
      </c>
    </row>
    <row r="29" spans="1:83" x14ac:dyDescent="0.2">
      <c r="A29" s="16"/>
      <c r="B29" s="16"/>
      <c r="C29" s="16"/>
      <c r="D29" s="17"/>
      <c r="E29" s="165"/>
      <c r="F29" s="18" t="s">
        <v>132</v>
      </c>
      <c r="G29" s="26"/>
      <c r="H29" s="26"/>
      <c r="I29" s="26"/>
      <c r="J29" s="24"/>
      <c r="K29" s="24"/>
      <c r="L29" s="24"/>
      <c r="M29" s="27"/>
      <c r="N29" s="27"/>
      <c r="O29" s="24"/>
      <c r="P29" s="27"/>
      <c r="Q29" s="27"/>
      <c r="R29" s="24"/>
      <c r="S29" s="27"/>
      <c r="T29" s="27"/>
      <c r="U29" s="27"/>
      <c r="V29" s="27"/>
      <c r="W29" s="27"/>
      <c r="X29" s="24"/>
      <c r="Y29" s="27"/>
      <c r="Z29" s="27"/>
      <c r="AA29" s="24"/>
      <c r="AB29" s="27"/>
      <c r="AC29" s="27"/>
      <c r="AD29" s="24"/>
      <c r="AE29" s="27"/>
      <c r="AF29" s="27"/>
      <c r="AG29" s="24"/>
      <c r="AH29" s="27"/>
      <c r="AI29" s="27"/>
      <c r="AJ29" s="24"/>
      <c r="AK29" s="27"/>
      <c r="AL29" s="27"/>
      <c r="AM29" s="24"/>
      <c r="AN29" s="27"/>
      <c r="AO29" s="27"/>
      <c r="AP29" s="24"/>
      <c r="AQ29" s="27"/>
      <c r="AR29" s="27"/>
      <c r="AS29" s="24"/>
      <c r="AT29" s="27"/>
      <c r="AU29" s="27"/>
      <c r="AV29" s="24"/>
      <c r="AW29" s="27"/>
      <c r="AX29" s="27"/>
      <c r="AY29" s="24"/>
      <c r="AZ29" s="27"/>
      <c r="BA29" s="27"/>
      <c r="BB29" s="24"/>
      <c r="BC29" s="27"/>
      <c r="BD29" s="27"/>
      <c r="BE29" s="24"/>
      <c r="BF29" s="27"/>
      <c r="BG29" s="27"/>
      <c r="BH29" s="24"/>
      <c r="BI29" s="27"/>
      <c r="BJ29" s="27"/>
      <c r="BK29" s="24"/>
      <c r="BL29" s="27"/>
      <c r="BM29" s="27"/>
      <c r="BN29" s="24"/>
      <c r="BO29" s="27"/>
      <c r="BP29" s="27"/>
      <c r="BQ29" s="24"/>
      <c r="BR29" s="27"/>
      <c r="BS29" s="27"/>
      <c r="BT29" s="24"/>
      <c r="BU29" s="27"/>
      <c r="BV29" s="27"/>
      <c r="BW29" s="24"/>
      <c r="BX29" s="27"/>
      <c r="BY29" s="27"/>
      <c r="BZ29" s="24"/>
      <c r="CA29" s="27"/>
      <c r="CB29" s="27"/>
      <c r="CC29" s="24"/>
      <c r="CD29" s="24"/>
      <c r="CE29" s="28">
        <f>SUMPRODUCT($H$32:BK$32,$H29:BK29)</f>
        <v>0</v>
      </c>
    </row>
    <row r="30" spans="1:83" x14ac:dyDescent="0.2">
      <c r="A30" s="16"/>
      <c r="B30" s="16"/>
      <c r="C30" s="16"/>
      <c r="D30" s="17"/>
      <c r="E30" s="165"/>
      <c r="F30" s="18" t="s">
        <v>132</v>
      </c>
      <c r="G30" s="1"/>
      <c r="H30" s="29"/>
      <c r="I30" s="29"/>
      <c r="J30" s="193" t="s">
        <v>9</v>
      </c>
      <c r="K30" s="194"/>
      <c r="L30" s="30">
        <v>1</v>
      </c>
      <c r="M30" s="191" t="s">
        <v>9</v>
      </c>
      <c r="N30" s="191"/>
      <c r="O30" s="30">
        <f>L30+1</f>
        <v>2</v>
      </c>
      <c r="P30" s="191" t="s">
        <v>9</v>
      </c>
      <c r="Q30" s="191"/>
      <c r="R30" s="30">
        <f>O30+1</f>
        <v>3</v>
      </c>
      <c r="S30" s="191" t="s">
        <v>9</v>
      </c>
      <c r="T30" s="191"/>
      <c r="U30" s="30">
        <f>R30+1</f>
        <v>4</v>
      </c>
      <c r="V30" s="191" t="s">
        <v>9</v>
      </c>
      <c r="W30" s="191"/>
      <c r="X30" s="30">
        <f>U30+1</f>
        <v>5</v>
      </c>
      <c r="Y30" s="191" t="s">
        <v>9</v>
      </c>
      <c r="Z30" s="191"/>
      <c r="AA30" s="30">
        <f>X30+1</f>
        <v>6</v>
      </c>
      <c r="AB30" s="191" t="s">
        <v>9</v>
      </c>
      <c r="AC30" s="191"/>
      <c r="AD30" s="30">
        <f>AA30+1</f>
        <v>7</v>
      </c>
      <c r="AE30" s="191" t="s">
        <v>9</v>
      </c>
      <c r="AF30" s="191"/>
      <c r="AG30" s="30">
        <f>AD30+1</f>
        <v>8</v>
      </c>
      <c r="AH30" s="191" t="s">
        <v>9</v>
      </c>
      <c r="AI30" s="191"/>
      <c r="AJ30" s="30">
        <f>AG30+1</f>
        <v>9</v>
      </c>
      <c r="AK30" s="191" t="s">
        <v>9</v>
      </c>
      <c r="AL30" s="191"/>
      <c r="AM30" s="30">
        <f>AJ30+1</f>
        <v>10</v>
      </c>
      <c r="AN30" s="191" t="s">
        <v>9</v>
      </c>
      <c r="AO30" s="191"/>
      <c r="AP30" s="30">
        <f>AM30+1</f>
        <v>11</v>
      </c>
      <c r="AQ30" s="191" t="s">
        <v>9</v>
      </c>
      <c r="AR30" s="191"/>
      <c r="AS30" s="30">
        <f>AP30+1</f>
        <v>12</v>
      </c>
      <c r="AT30" s="191" t="s">
        <v>9</v>
      </c>
      <c r="AU30" s="191"/>
      <c r="AV30" s="30">
        <f>AS30+1</f>
        <v>13</v>
      </c>
      <c r="AW30" s="191" t="s">
        <v>9</v>
      </c>
      <c r="AX30" s="191"/>
      <c r="AY30" s="30">
        <f>AV30+1</f>
        <v>14</v>
      </c>
      <c r="AZ30" s="191" t="s">
        <v>9</v>
      </c>
      <c r="BA30" s="191"/>
      <c r="BB30" s="30" t="e">
        <f>#REF!+1</f>
        <v>#REF!</v>
      </c>
      <c r="BC30" s="191" t="s">
        <v>9</v>
      </c>
      <c r="BD30" s="191"/>
      <c r="BE30" s="30" t="e">
        <f>BB30+1</f>
        <v>#REF!</v>
      </c>
      <c r="BF30" s="191" t="s">
        <v>9</v>
      </c>
      <c r="BG30" s="191"/>
      <c r="BH30" s="30" t="e">
        <f>BE30+1</f>
        <v>#REF!</v>
      </c>
      <c r="BI30" s="191" t="s">
        <v>9</v>
      </c>
      <c r="BJ30" s="191"/>
      <c r="BK30" s="30" t="e">
        <f>BH30+1</f>
        <v>#REF!</v>
      </c>
      <c r="BL30" s="191" t="s">
        <v>9</v>
      </c>
      <c r="BM30" s="191"/>
      <c r="BN30" s="30" t="e">
        <f>BK30+1</f>
        <v>#REF!</v>
      </c>
      <c r="BO30" s="191" t="s">
        <v>9</v>
      </c>
      <c r="BP30" s="191"/>
      <c r="BQ30" s="30" t="e">
        <f>BN30+1</f>
        <v>#REF!</v>
      </c>
      <c r="BR30" s="191" t="s">
        <v>9</v>
      </c>
      <c r="BS30" s="191"/>
      <c r="BT30" s="30" t="e">
        <f>BQ30+1</f>
        <v>#REF!</v>
      </c>
      <c r="BU30" s="191" t="s">
        <v>9</v>
      </c>
      <c r="BV30" s="191"/>
      <c r="BW30" s="30" t="e">
        <f>BT30+1</f>
        <v>#REF!</v>
      </c>
      <c r="BX30" s="191" t="s">
        <v>9</v>
      </c>
      <c r="BY30" s="191"/>
      <c r="BZ30" s="30" t="e">
        <f>BW30+1</f>
        <v>#REF!</v>
      </c>
      <c r="CA30" s="191" t="s">
        <v>9</v>
      </c>
      <c r="CB30" s="191"/>
      <c r="CC30" s="30" t="e">
        <f>BZ30+1</f>
        <v>#REF!</v>
      </c>
      <c r="CD30" s="30"/>
      <c r="CE30" s="31"/>
    </row>
    <row r="31" spans="1:83" x14ac:dyDescent="0.2">
      <c r="A31" s="16"/>
      <c r="B31" s="16"/>
      <c r="C31" s="16"/>
      <c r="D31" s="17"/>
      <c r="E31" s="165"/>
      <c r="F31" s="18" t="s">
        <v>132</v>
      </c>
      <c r="G31" s="32"/>
      <c r="H31" s="32"/>
      <c r="I31" s="32"/>
      <c r="J31" s="145">
        <v>1</v>
      </c>
      <c r="K31" s="145">
        <v>0</v>
      </c>
      <c r="L31" s="32">
        <v>0</v>
      </c>
      <c r="M31" s="32">
        <v>1</v>
      </c>
      <c r="N31" s="32">
        <v>0</v>
      </c>
      <c r="O31" s="32">
        <v>0</v>
      </c>
      <c r="P31" s="32">
        <v>1</v>
      </c>
      <c r="Q31" s="32">
        <v>0</v>
      </c>
      <c r="R31" s="32">
        <v>0</v>
      </c>
      <c r="S31" s="32">
        <v>1</v>
      </c>
      <c r="T31" s="32">
        <v>0</v>
      </c>
      <c r="U31" s="32">
        <v>0</v>
      </c>
      <c r="V31" s="32">
        <v>1</v>
      </c>
      <c r="W31" s="32">
        <v>0</v>
      </c>
      <c r="X31" s="32">
        <v>0</v>
      </c>
      <c r="Y31" s="32">
        <v>1</v>
      </c>
      <c r="Z31" s="32">
        <v>0</v>
      </c>
      <c r="AA31" s="32">
        <v>0</v>
      </c>
      <c r="AB31" s="32">
        <v>1</v>
      </c>
      <c r="AC31" s="32">
        <v>0</v>
      </c>
      <c r="AD31" s="32">
        <v>0</v>
      </c>
      <c r="AE31" s="32">
        <v>1</v>
      </c>
      <c r="AF31" s="32">
        <v>0</v>
      </c>
      <c r="AG31" s="32">
        <v>0</v>
      </c>
      <c r="AH31" s="32">
        <v>1</v>
      </c>
      <c r="AI31" s="32">
        <v>0</v>
      </c>
      <c r="AJ31" s="32">
        <v>0</v>
      </c>
      <c r="AK31" s="32">
        <v>1</v>
      </c>
      <c r="AL31" s="32">
        <v>0</v>
      </c>
      <c r="AM31" s="32">
        <v>0</v>
      </c>
      <c r="AN31" s="32">
        <v>1</v>
      </c>
      <c r="AO31" s="32">
        <v>0</v>
      </c>
      <c r="AP31" s="32">
        <v>0</v>
      </c>
      <c r="AQ31" s="32">
        <v>1</v>
      </c>
      <c r="AR31" s="32">
        <v>0</v>
      </c>
      <c r="AS31" s="32">
        <v>0</v>
      </c>
      <c r="AT31" s="32">
        <v>1</v>
      </c>
      <c r="AU31" s="32">
        <v>0</v>
      </c>
      <c r="AV31" s="32">
        <v>0</v>
      </c>
      <c r="AW31" s="32">
        <v>1</v>
      </c>
      <c r="AX31" s="32">
        <v>0</v>
      </c>
      <c r="AY31" s="32">
        <v>0</v>
      </c>
      <c r="AZ31" s="32">
        <v>1</v>
      </c>
      <c r="BA31" s="32">
        <v>0</v>
      </c>
      <c r="BB31" s="32">
        <v>0</v>
      </c>
      <c r="BC31" s="32">
        <v>1</v>
      </c>
      <c r="BD31" s="32">
        <v>0</v>
      </c>
      <c r="BE31" s="32">
        <v>0</v>
      </c>
      <c r="BF31" s="32">
        <v>1</v>
      </c>
      <c r="BG31" s="32">
        <v>0</v>
      </c>
      <c r="BH31" s="32">
        <v>0</v>
      </c>
      <c r="BI31" s="32">
        <v>1</v>
      </c>
      <c r="BJ31" s="32">
        <v>0</v>
      </c>
      <c r="BK31" s="32">
        <v>0</v>
      </c>
      <c r="BL31" s="32">
        <v>1</v>
      </c>
      <c r="BM31" s="32">
        <v>0</v>
      </c>
      <c r="BN31" s="32">
        <v>0</v>
      </c>
      <c r="BO31" s="32">
        <v>1</v>
      </c>
      <c r="BP31" s="32">
        <v>0</v>
      </c>
      <c r="BQ31" s="32">
        <v>0</v>
      </c>
      <c r="BR31" s="32">
        <v>1</v>
      </c>
      <c r="BS31" s="32">
        <v>0</v>
      </c>
      <c r="BT31" s="32">
        <v>0</v>
      </c>
      <c r="BU31" s="32">
        <v>1</v>
      </c>
      <c r="BV31" s="32">
        <v>0</v>
      </c>
      <c r="BW31" s="32">
        <v>0</v>
      </c>
      <c r="BX31" s="32">
        <v>1</v>
      </c>
      <c r="BY31" s="32">
        <v>0</v>
      </c>
      <c r="BZ31" s="32">
        <v>0</v>
      </c>
      <c r="CA31" s="32">
        <v>1</v>
      </c>
      <c r="CB31" s="32">
        <v>0</v>
      </c>
      <c r="CC31" s="32">
        <v>0</v>
      </c>
      <c r="CD31" s="32"/>
      <c r="CE31" s="33"/>
    </row>
    <row r="32" spans="1:83" x14ac:dyDescent="0.2">
      <c r="A32" s="16"/>
      <c r="B32" s="16"/>
      <c r="C32" s="16"/>
      <c r="D32" s="17"/>
      <c r="E32" s="165"/>
      <c r="F32" s="18" t="s">
        <v>132</v>
      </c>
      <c r="G32" s="32"/>
      <c r="H32" s="32"/>
      <c r="I32" s="32"/>
      <c r="J32" s="24">
        <v>0</v>
      </c>
      <c r="K32" s="145">
        <v>1</v>
      </c>
      <c r="L32" s="32">
        <v>0</v>
      </c>
      <c r="M32" s="35">
        <v>0</v>
      </c>
      <c r="N32" s="32">
        <v>1</v>
      </c>
      <c r="O32" s="32">
        <v>0</v>
      </c>
      <c r="P32" s="35">
        <v>0</v>
      </c>
      <c r="Q32" s="32">
        <v>1</v>
      </c>
      <c r="R32" s="32">
        <v>0</v>
      </c>
      <c r="S32" s="35">
        <v>0</v>
      </c>
      <c r="T32" s="32">
        <v>1</v>
      </c>
      <c r="U32" s="32">
        <v>0</v>
      </c>
      <c r="V32" s="35">
        <v>0</v>
      </c>
      <c r="W32" s="32">
        <v>1</v>
      </c>
      <c r="X32" s="32">
        <v>0</v>
      </c>
      <c r="Y32" s="35">
        <v>0</v>
      </c>
      <c r="Z32" s="32">
        <v>1</v>
      </c>
      <c r="AA32" s="32">
        <v>0</v>
      </c>
      <c r="AB32" s="35">
        <v>0</v>
      </c>
      <c r="AC32" s="32">
        <v>1</v>
      </c>
      <c r="AD32" s="32">
        <v>0</v>
      </c>
      <c r="AE32" s="35">
        <v>0</v>
      </c>
      <c r="AF32" s="32">
        <v>1</v>
      </c>
      <c r="AG32" s="32">
        <v>0</v>
      </c>
      <c r="AH32" s="35">
        <v>0</v>
      </c>
      <c r="AI32" s="32">
        <v>1</v>
      </c>
      <c r="AJ32" s="32">
        <v>0</v>
      </c>
      <c r="AK32" s="35">
        <v>0</v>
      </c>
      <c r="AL32" s="32">
        <v>1</v>
      </c>
      <c r="AM32" s="32">
        <v>0</v>
      </c>
      <c r="AN32" s="35">
        <v>0</v>
      </c>
      <c r="AO32" s="32">
        <v>1</v>
      </c>
      <c r="AP32" s="32">
        <v>0</v>
      </c>
      <c r="AQ32" s="35">
        <v>0</v>
      </c>
      <c r="AR32" s="32">
        <v>1</v>
      </c>
      <c r="AS32" s="32">
        <v>0</v>
      </c>
      <c r="AT32" s="35">
        <v>0</v>
      </c>
      <c r="AU32" s="32">
        <v>1</v>
      </c>
      <c r="AV32" s="32">
        <v>0</v>
      </c>
      <c r="AW32" s="35">
        <v>0</v>
      </c>
      <c r="AX32" s="32">
        <v>1</v>
      </c>
      <c r="AY32" s="32">
        <v>0</v>
      </c>
      <c r="AZ32" s="35">
        <v>0</v>
      </c>
      <c r="BA32" s="32">
        <v>1</v>
      </c>
      <c r="BB32" s="32">
        <v>0</v>
      </c>
      <c r="BC32" s="35">
        <v>0</v>
      </c>
      <c r="BD32" s="32">
        <v>1</v>
      </c>
      <c r="BE32" s="32">
        <v>0</v>
      </c>
      <c r="BF32" s="35">
        <v>0</v>
      </c>
      <c r="BG32" s="32">
        <v>1</v>
      </c>
      <c r="BH32" s="32">
        <v>0</v>
      </c>
      <c r="BI32" s="35">
        <v>0</v>
      </c>
      <c r="BJ32" s="32">
        <v>1</v>
      </c>
      <c r="BK32" s="32">
        <v>0</v>
      </c>
      <c r="BL32" s="35">
        <v>0</v>
      </c>
      <c r="BM32" s="32">
        <v>1</v>
      </c>
      <c r="BN32" s="32">
        <v>0</v>
      </c>
      <c r="BO32" s="35">
        <v>0</v>
      </c>
      <c r="BP32" s="32">
        <v>1</v>
      </c>
      <c r="BQ32" s="32">
        <v>0</v>
      </c>
      <c r="BR32" s="35">
        <v>0</v>
      </c>
      <c r="BS32" s="32">
        <v>1</v>
      </c>
      <c r="BT32" s="32">
        <v>0</v>
      </c>
      <c r="BU32" s="35">
        <v>0</v>
      </c>
      <c r="BV32" s="32">
        <v>1</v>
      </c>
      <c r="BW32" s="32">
        <v>0</v>
      </c>
      <c r="BX32" s="35">
        <v>0</v>
      </c>
      <c r="BY32" s="32">
        <v>1</v>
      </c>
      <c r="BZ32" s="32">
        <v>0</v>
      </c>
      <c r="CA32" s="35">
        <v>0</v>
      </c>
      <c r="CB32" s="32">
        <v>1</v>
      </c>
      <c r="CC32" s="32">
        <v>0</v>
      </c>
      <c r="CD32" s="32"/>
    </row>
    <row r="33" spans="1:83" x14ac:dyDescent="0.2">
      <c r="A33" s="16"/>
      <c r="B33" s="16"/>
      <c r="C33" s="16"/>
      <c r="D33" s="17"/>
      <c r="E33" s="165"/>
      <c r="F33" s="18" t="s">
        <v>132</v>
      </c>
      <c r="G33" s="32"/>
      <c r="H33" s="32"/>
      <c r="I33" s="32"/>
      <c r="J33" s="24">
        <v>0</v>
      </c>
      <c r="K33" s="145">
        <v>0</v>
      </c>
      <c r="L33" s="32">
        <v>1</v>
      </c>
      <c r="M33" s="35">
        <v>0</v>
      </c>
      <c r="N33" s="32">
        <v>0</v>
      </c>
      <c r="O33" s="32">
        <v>1</v>
      </c>
      <c r="P33" s="35">
        <v>0</v>
      </c>
      <c r="Q33" s="32">
        <v>0</v>
      </c>
      <c r="R33" s="32">
        <v>1</v>
      </c>
      <c r="S33" s="35">
        <v>0</v>
      </c>
      <c r="T33" s="32">
        <v>0</v>
      </c>
      <c r="U33" s="32">
        <v>1</v>
      </c>
      <c r="V33" s="35">
        <v>0</v>
      </c>
      <c r="W33" s="32">
        <v>0</v>
      </c>
      <c r="X33" s="32">
        <v>1</v>
      </c>
      <c r="Y33" s="35">
        <v>0</v>
      </c>
      <c r="Z33" s="32">
        <v>0</v>
      </c>
      <c r="AA33" s="32">
        <v>1</v>
      </c>
      <c r="AB33" s="35">
        <v>0</v>
      </c>
      <c r="AC33" s="32">
        <v>0</v>
      </c>
      <c r="AD33" s="32">
        <v>1</v>
      </c>
      <c r="AE33" s="35">
        <v>0</v>
      </c>
      <c r="AF33" s="32">
        <v>0</v>
      </c>
      <c r="AG33" s="32">
        <v>1</v>
      </c>
      <c r="AH33" s="35">
        <v>0</v>
      </c>
      <c r="AI33" s="32">
        <v>0</v>
      </c>
      <c r="AJ33" s="32">
        <v>1</v>
      </c>
      <c r="AK33" s="35">
        <v>0</v>
      </c>
      <c r="AL33" s="32">
        <v>0</v>
      </c>
      <c r="AM33" s="32">
        <v>1</v>
      </c>
      <c r="AN33" s="35">
        <v>0</v>
      </c>
      <c r="AO33" s="32">
        <v>0</v>
      </c>
      <c r="AP33" s="32">
        <v>1</v>
      </c>
      <c r="AQ33" s="35">
        <v>0</v>
      </c>
      <c r="AR33" s="32">
        <v>0</v>
      </c>
      <c r="AS33" s="32">
        <v>1</v>
      </c>
      <c r="AT33" s="35">
        <v>0</v>
      </c>
      <c r="AU33" s="32">
        <v>0</v>
      </c>
      <c r="AV33" s="32">
        <v>1</v>
      </c>
      <c r="AW33" s="35">
        <v>0</v>
      </c>
      <c r="AX33" s="32">
        <v>0</v>
      </c>
      <c r="AY33" s="32">
        <v>1</v>
      </c>
      <c r="AZ33" s="35">
        <v>0</v>
      </c>
      <c r="BA33" s="32">
        <v>0</v>
      </c>
      <c r="BB33" s="32">
        <v>1</v>
      </c>
      <c r="BC33" s="35">
        <v>0</v>
      </c>
      <c r="BD33" s="32">
        <v>0</v>
      </c>
      <c r="BE33" s="32">
        <v>1</v>
      </c>
      <c r="BF33" s="35">
        <v>0</v>
      </c>
      <c r="BG33" s="32">
        <v>0</v>
      </c>
      <c r="BH33" s="32">
        <v>1</v>
      </c>
      <c r="BI33" s="35">
        <v>0</v>
      </c>
      <c r="BJ33" s="32">
        <v>0</v>
      </c>
      <c r="BK33" s="32">
        <v>1</v>
      </c>
      <c r="BL33" s="35">
        <v>0</v>
      </c>
      <c r="BM33" s="32">
        <v>0</v>
      </c>
      <c r="BN33" s="32">
        <v>1</v>
      </c>
      <c r="BO33" s="35">
        <v>0</v>
      </c>
      <c r="BP33" s="32">
        <v>0</v>
      </c>
      <c r="BQ33" s="32">
        <v>1</v>
      </c>
      <c r="BR33" s="35">
        <v>0</v>
      </c>
      <c r="BS33" s="32">
        <v>0</v>
      </c>
      <c r="BT33" s="32">
        <v>1</v>
      </c>
      <c r="BU33" s="35">
        <v>0</v>
      </c>
      <c r="BV33" s="32">
        <v>0</v>
      </c>
      <c r="BW33" s="32">
        <v>1</v>
      </c>
      <c r="BX33" s="35">
        <v>0</v>
      </c>
      <c r="BY33" s="32">
        <v>0</v>
      </c>
      <c r="BZ33" s="32">
        <v>1</v>
      </c>
      <c r="CA33" s="35">
        <v>0</v>
      </c>
      <c r="CB33" s="32">
        <v>0</v>
      </c>
      <c r="CC33" s="32">
        <v>1</v>
      </c>
      <c r="CD33" s="32"/>
    </row>
    <row r="34" spans="1:83" x14ac:dyDescent="0.2">
      <c r="A34" s="16"/>
      <c r="B34" s="16"/>
      <c r="C34" s="16"/>
      <c r="D34" s="17"/>
      <c r="E34" s="165"/>
      <c r="F34" s="18" t="s">
        <v>132</v>
      </c>
      <c r="G34" s="38"/>
      <c r="H34" s="38"/>
      <c r="I34" s="39">
        <f>SUBTOTAL(109,I$4:I$29)</f>
        <v>135</v>
      </c>
      <c r="J34" s="146">
        <f>SUBTOTAL(109,J$4:J$29)</f>
        <v>14</v>
      </c>
      <c r="K34" s="146">
        <f>SUBTOTAL(109,K$4:K$28)</f>
        <v>121</v>
      </c>
      <c r="L34" s="39"/>
      <c r="M34" s="39">
        <f>SUBTOTAL(109,M$4:M$29)</f>
        <v>14</v>
      </c>
      <c r="N34" s="39">
        <f>SUBTOTAL(109,N$4:N$28)</f>
        <v>107</v>
      </c>
      <c r="O34" s="39"/>
      <c r="P34" s="39">
        <f>SUBTOTAL(109,P$4:P$29)</f>
        <v>13</v>
      </c>
      <c r="Q34" s="39">
        <f>SUBTOTAL(109,Q$4:Q$28)</f>
        <v>94</v>
      </c>
      <c r="R34" s="39"/>
      <c r="S34" s="39">
        <f>SUBTOTAL(109,S$4:S$29)</f>
        <v>14</v>
      </c>
      <c r="T34" s="39">
        <f>SUBTOTAL(109,T$4:T$28)</f>
        <v>80</v>
      </c>
      <c r="U34" s="39"/>
      <c r="V34" s="39">
        <f>SUBTOTAL(109,V$4:V$29)</f>
        <v>13</v>
      </c>
      <c r="W34" s="39">
        <f>SUBTOTAL(109,W$4:W$28)</f>
        <v>67</v>
      </c>
      <c r="X34" s="39"/>
      <c r="Y34" s="39">
        <f>SUBTOTAL(109,Y$4:Y$29)</f>
        <v>13</v>
      </c>
      <c r="Z34" s="39">
        <f>SUBTOTAL(109,Z$4:Z$28)</f>
        <v>54</v>
      </c>
      <c r="AA34" s="39"/>
      <c r="AB34" s="39">
        <f>SUBTOTAL(109,AB$4:AB$29)</f>
        <v>12</v>
      </c>
      <c r="AC34" s="39">
        <f>SUBTOTAL(109,AC$4:AC$28)</f>
        <v>42</v>
      </c>
      <c r="AD34" s="39"/>
      <c r="AE34" s="39">
        <f>SUBTOTAL(109,AE$4:AE$29)</f>
        <v>14</v>
      </c>
      <c r="AF34" s="39">
        <f>SUBTOTAL(109,AF$4:AF$28)</f>
        <v>28</v>
      </c>
      <c r="AG34" s="39"/>
      <c r="AH34" s="39">
        <f>SUBTOTAL(109,AH$4:AH$29)</f>
        <v>13</v>
      </c>
      <c r="AI34" s="39">
        <f>SUBTOTAL(109,AI$4:AI$28)</f>
        <v>15</v>
      </c>
      <c r="AJ34" s="39"/>
      <c r="AK34" s="39">
        <f>SUBTOTAL(109,AK$4:AK$29)</f>
        <v>15</v>
      </c>
      <c r="AL34" s="39">
        <f>SUBTOTAL(109,AL$4:AL$28)</f>
        <v>0</v>
      </c>
      <c r="AM34" s="39"/>
      <c r="AN34" s="39">
        <f>SUBTOTAL(109,AN$4:AN$29)</f>
        <v>0</v>
      </c>
      <c r="AO34" s="39">
        <f>SUBTOTAL(109,AO$4:AO$28)</f>
        <v>0</v>
      </c>
      <c r="AP34" s="39"/>
      <c r="AQ34" s="39">
        <f>SUBTOTAL(109,AQ$4:AQ$29)</f>
        <v>0</v>
      </c>
      <c r="AR34" s="39">
        <f>SUBTOTAL(109,AR$4:AR$28)</f>
        <v>0</v>
      </c>
      <c r="AS34" s="39"/>
      <c r="AT34" s="39">
        <f>SUBTOTAL(109,AT$4:AT$29)</f>
        <v>0</v>
      </c>
      <c r="AU34" s="39">
        <f>SUBTOTAL(109,AU$4:AU$28)</f>
        <v>0</v>
      </c>
      <c r="AV34" s="39"/>
      <c r="AW34" s="39">
        <f>SUBTOTAL(109,AW$4:AW$29)</f>
        <v>0</v>
      </c>
      <c r="AX34" s="39">
        <f>SUBTOTAL(109,AX$4:AX$28)</f>
        <v>0</v>
      </c>
      <c r="AY34" s="39"/>
      <c r="AZ34" s="39">
        <f t="shared" ref="AZ34:CC34" si="200">SUBTOTAL(109,AZ$4:AZ$28)</f>
        <v>0</v>
      </c>
      <c r="BA34" s="39" t="e">
        <f t="shared" si="200"/>
        <v>#REF!</v>
      </c>
      <c r="BB34" s="39" t="e">
        <f t="shared" si="200"/>
        <v>#REF!</v>
      </c>
      <c r="BC34" s="39">
        <f t="shared" si="200"/>
        <v>0</v>
      </c>
      <c r="BD34" s="39" t="e">
        <f t="shared" si="200"/>
        <v>#REF!</v>
      </c>
      <c r="BE34" s="39" t="e">
        <f t="shared" si="200"/>
        <v>#REF!</v>
      </c>
      <c r="BF34" s="39">
        <f t="shared" si="200"/>
        <v>0</v>
      </c>
      <c r="BG34" s="39" t="e">
        <f t="shared" si="200"/>
        <v>#REF!</v>
      </c>
      <c r="BH34" s="39" t="e">
        <f t="shared" si="200"/>
        <v>#REF!</v>
      </c>
      <c r="BI34" s="39">
        <f t="shared" si="200"/>
        <v>0</v>
      </c>
      <c r="BJ34" s="39" t="e">
        <f t="shared" si="200"/>
        <v>#REF!</v>
      </c>
      <c r="BK34" s="39" t="e">
        <f t="shared" si="200"/>
        <v>#REF!</v>
      </c>
      <c r="BL34" s="39">
        <f t="shared" si="200"/>
        <v>0</v>
      </c>
      <c r="BM34" s="39" t="e">
        <f t="shared" si="200"/>
        <v>#REF!</v>
      </c>
      <c r="BN34" s="39" t="e">
        <f t="shared" si="200"/>
        <v>#REF!</v>
      </c>
      <c r="BO34" s="39">
        <f t="shared" si="200"/>
        <v>0</v>
      </c>
      <c r="BP34" s="39" t="e">
        <f t="shared" si="200"/>
        <v>#REF!</v>
      </c>
      <c r="BQ34" s="39" t="e">
        <f t="shared" si="200"/>
        <v>#REF!</v>
      </c>
      <c r="BR34" s="39">
        <f t="shared" si="200"/>
        <v>0</v>
      </c>
      <c r="BS34" s="39" t="e">
        <f t="shared" si="200"/>
        <v>#REF!</v>
      </c>
      <c r="BT34" s="39" t="e">
        <f t="shared" si="200"/>
        <v>#REF!</v>
      </c>
      <c r="BU34" s="39">
        <f t="shared" si="200"/>
        <v>0</v>
      </c>
      <c r="BV34" s="39" t="e">
        <f t="shared" si="200"/>
        <v>#REF!</v>
      </c>
      <c r="BW34" s="39" t="e">
        <f t="shared" si="200"/>
        <v>#REF!</v>
      </c>
      <c r="BX34" s="39">
        <f t="shared" si="200"/>
        <v>0</v>
      </c>
      <c r="BY34" s="39" t="e">
        <f t="shared" si="200"/>
        <v>#REF!</v>
      </c>
      <c r="BZ34" s="39" t="e">
        <f t="shared" si="200"/>
        <v>#REF!</v>
      </c>
      <c r="CA34" s="39">
        <f t="shared" si="200"/>
        <v>0</v>
      </c>
      <c r="CB34" s="39" t="e">
        <f t="shared" si="200"/>
        <v>#REF!</v>
      </c>
      <c r="CC34" s="39" t="e">
        <f t="shared" si="200"/>
        <v>#REF!</v>
      </c>
      <c r="CD34" s="38"/>
      <c r="CE34" s="40"/>
    </row>
    <row r="35" spans="1:83" x14ac:dyDescent="0.2">
      <c r="A35" s="26"/>
      <c r="B35" s="26"/>
      <c r="C35" s="26"/>
      <c r="D35" s="26"/>
      <c r="E35" s="26"/>
      <c r="F35" s="26"/>
    </row>
    <row r="36" spans="1:83" x14ac:dyDescent="0.2">
      <c r="A36" s="29"/>
      <c r="B36" s="29"/>
      <c r="C36" s="29"/>
      <c r="D36" s="29"/>
      <c r="E36" s="29"/>
      <c r="F36" s="29"/>
    </row>
    <row r="37" spans="1:83" x14ac:dyDescent="0.2">
      <c r="A37" s="32"/>
      <c r="B37" s="32"/>
      <c r="C37" s="32"/>
      <c r="D37" s="32"/>
      <c r="E37" s="32" t="s">
        <v>11</v>
      </c>
      <c r="F37" s="32"/>
    </row>
    <row r="38" spans="1:83" x14ac:dyDescent="0.2">
      <c r="A38" s="34"/>
      <c r="B38" s="34"/>
      <c r="C38" s="34"/>
      <c r="D38" s="34"/>
      <c r="E38" s="32" t="s">
        <v>13</v>
      </c>
      <c r="F38" s="32"/>
    </row>
    <row r="39" spans="1:83" x14ac:dyDescent="0.2">
      <c r="A39" s="32"/>
      <c r="B39" s="32"/>
      <c r="C39" s="32"/>
      <c r="D39" s="32"/>
      <c r="E39" s="36" t="s">
        <v>14</v>
      </c>
      <c r="F39" s="32"/>
    </row>
    <row r="40" spans="1:83" x14ac:dyDescent="0.2">
      <c r="A40" s="37">
        <v>300</v>
      </c>
      <c r="B40" s="37">
        <v>300</v>
      </c>
      <c r="C40" s="37">
        <v>300</v>
      </c>
      <c r="D40" s="37" t="s">
        <v>89</v>
      </c>
      <c r="E40" s="38" t="s">
        <v>85</v>
      </c>
      <c r="F40" s="38"/>
    </row>
    <row r="41" spans="1:83" x14ac:dyDescent="0.2">
      <c r="A41" s="41"/>
      <c r="B41" s="41"/>
      <c r="C41" s="41"/>
      <c r="D41" s="41"/>
      <c r="E41" s="41"/>
      <c r="F41" s="41"/>
    </row>
    <row r="42" spans="1:83" x14ac:dyDescent="0.2">
      <c r="A42" s="41"/>
      <c r="B42" s="41"/>
      <c r="C42" s="41"/>
      <c r="D42" s="41"/>
      <c r="E42" s="41"/>
      <c r="F42" s="41"/>
    </row>
    <row r="43" spans="1:83" x14ac:dyDescent="0.2">
      <c r="A43" s="41"/>
      <c r="B43" s="41"/>
      <c r="C43" s="41"/>
      <c r="D43" s="41"/>
      <c r="E43" s="41"/>
      <c r="F43" s="41"/>
    </row>
    <row r="44" spans="1:83" x14ac:dyDescent="0.2">
      <c r="A44" s="41"/>
      <c r="B44" s="41"/>
      <c r="C44" s="41"/>
      <c r="D44" s="41"/>
      <c r="E44" s="41"/>
      <c r="F44" s="41"/>
    </row>
  </sheetData>
  <autoFilter ref="C3:CE33"/>
  <mergeCells count="48">
    <mergeCell ref="V30:W30"/>
    <mergeCell ref="S30:T30"/>
    <mergeCell ref="P30:Q30"/>
    <mergeCell ref="M30:N30"/>
    <mergeCell ref="J30:K30"/>
    <mergeCell ref="BL30:BM30"/>
    <mergeCell ref="BI30:BJ30"/>
    <mergeCell ref="BF30:BG30"/>
    <mergeCell ref="BC30:BD30"/>
    <mergeCell ref="AZ30:BA30"/>
    <mergeCell ref="CA30:CB30"/>
    <mergeCell ref="BX30:BY30"/>
    <mergeCell ref="BU30:BV30"/>
    <mergeCell ref="BR30:BS30"/>
    <mergeCell ref="BO30:BP30"/>
    <mergeCell ref="AE30:AF30"/>
    <mergeCell ref="AB30:AC30"/>
    <mergeCell ref="Y30:Z30"/>
    <mergeCell ref="AE1:AG1"/>
    <mergeCell ref="AB1:AD1"/>
    <mergeCell ref="Y1:AA1"/>
    <mergeCell ref="BX1:BZ1"/>
    <mergeCell ref="CA1:CC1"/>
    <mergeCell ref="BR1:BT1"/>
    <mergeCell ref="BU1:BW1"/>
    <mergeCell ref="BL1:BN1"/>
    <mergeCell ref="BO1:BQ1"/>
    <mergeCell ref="AZ1:BB1"/>
    <mergeCell ref="BC1:BE1"/>
    <mergeCell ref="BF1:BH1"/>
    <mergeCell ref="BI1:BK1"/>
    <mergeCell ref="V1:X1"/>
    <mergeCell ref="J1:L1"/>
    <mergeCell ref="M1:O1"/>
    <mergeCell ref="P1:R1"/>
    <mergeCell ref="S1:U1"/>
    <mergeCell ref="AW1:AY1"/>
    <mergeCell ref="AH1:AJ1"/>
    <mergeCell ref="AK1:AM1"/>
    <mergeCell ref="AN1:AP1"/>
    <mergeCell ref="AQ1:AS1"/>
    <mergeCell ref="AT1:AV1"/>
    <mergeCell ref="AT30:AU30"/>
    <mergeCell ref="AW30:AX30"/>
    <mergeCell ref="AH30:AI30"/>
    <mergeCell ref="AK30:AL30"/>
    <mergeCell ref="AN30:AO30"/>
    <mergeCell ref="AQ30:AR30"/>
  </mergeCells>
  <phoneticPr fontId="2" type="noConversion"/>
  <conditionalFormatting sqref="I34">
    <cfRule type="cellIs" dxfId="119" priority="167" stopIfTrue="1" operator="lessThan">
      <formula>C40*0.75</formula>
    </cfRule>
    <cfRule type="cellIs" dxfId="118" priority="167" stopIfTrue="1" operator="between">
      <formula>C40*0.75</formula>
      <formula>#REF!</formula>
    </cfRule>
    <cfRule type="cellIs" dxfId="117" priority="167" stopIfTrue="1" operator="greaterThan">
      <formula>C40</formula>
    </cfRule>
  </conditionalFormatting>
  <conditionalFormatting sqref="J2:J3 CA2:CA3 BR2:BR3 BU2:BU3 P2:P3 S2:S3 V2:V3 Y2:Y3 AB2:AB3 AE2:AE3 AH2:AH3 AK2:AK3 AN2:AN3 AQ2:AQ3 AT2:AT3 AW2:AW3 AZ2:AZ3 BC2:BC3 BF2:BF3 BI2:BI3 BL2:BL3 BO2:BO3 BX2:BX3 M2:M3">
    <cfRule type="expression" dxfId="116" priority="159"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115" priority="160"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114" priority="161" stopIfTrue="1">
      <formula>J$1=TODAY()+DailyScrumDateModifier</formula>
    </cfRule>
  </conditionalFormatting>
  <conditionalFormatting sqref="AW4:AW9 AN4:AN9 CA4:CA9 BX4:BX9 BU4:BU9 BR4:BR9 BO4:BO9 BL4:BL9 BI4:BI9 BF4:BF9 BC4:BC9 AZ4:AZ9 AZ11:AZ15 BC11:BC15 BF11:BF15 BI11:BI15 BL11:BL15 BO11:BO15 BR11:BR15 BU11:BU15 BX11:BX15 CA11:CA15 CA25:CA28 BX25:BX28 BU25:BU28 BR25:BR28 BO25:BO28 BL25:BL28 BI25:BI28 BF25:BF28 BC25:BC28 AZ25:AZ28 AQ4:AQ28 AT4:AT28 AW11:AW28 CA23 BX23 BU23 BR23 BO23 BL23 BI23 BF23 BC23 AZ23 AB4:AB28 P4:P9 P11:P28 V4:V28 AE4:AE28 S4:S28 AK4:AK28 AH4:AH28 J4:J28 M4:M28 Y4:Y28">
    <cfRule type="expression" dxfId="113" priority="170" stopIfTrue="1">
      <formula>J$1=TODAY()+DailyScrumDateModifier</formula>
    </cfRule>
    <cfRule type="expression" dxfId="112" priority="170" stopIfTrue="1">
      <formula>MOD(ROW(),2)</formula>
    </cfRule>
  </conditionalFormatting>
  <conditionalFormatting sqref="N4:N9 AX4:AX9 AU4:AU9 AR4:AR9 AL4:AL9 AF4:AF9 AC4:AC9 Z4:Z9 W4:W9 Q4:Q9 CB4:CB9 BY4:BY9 BV4:BV9 BS4:BS9 BP4:BP9 BM4:BM9 BJ4:BJ9 BG4:BG9 BD4:BD9 BA4:BA9 K4:K9 T4:T9 AI4:AI9 AO4:AO9 AO11:AO15 AI11:AI15 T11:T15 K11:K15 BA11:BA15 BD11:BD15 BG11:BG15 BJ11:BJ15 BM11:BM15 BP11:BP15 BS11:BS15 BV11:BV15 BY11:BY15 CB11:CB15 Q11:Q15 W11:W15 Z11:Z15 AC11:AC15 AF11:AF15 AL11:AL15 AR11:AR15 AU11:AU15 AX11:AX15 N11:N15 N25:N28 AX25:AX28 AU25:AU28 AR25:AR28 AL25:AL28 AF25:AF28 AC25:AC28 Z25:Z28 W25:W28 Q25:Q28 CB25:CB28 BY25:BY28 BV25:BV28 BS25:BS28 BP25:BP28 BM25:BM28 BJ25:BJ28 BG25:BG28 BD25:BD28 BA25:BA28 K25:K28 T25:T28 AI25:AI28 AO25:AO28 N23 AX23 AU23 AR23 AL23 AF23 AC23 Z23 W23 Q23 CB23 BY23 BV23 BS23 BP23 BM23 BJ23 BG23 BD23 BA23 K23 T23 AI23 AO23 N21 Q21 T21 W21 Z21 AC21 AF21 AI21 AL21">
    <cfRule type="expression" dxfId="111" priority="172" stopIfTrue="1">
      <formula>J$1=TODAY()+DailyScrumDateModifier</formula>
    </cfRule>
    <cfRule type="expression" dxfId="110" priority="172" stopIfTrue="1">
      <formula>MOD(ROW(),2)</formula>
    </cfRule>
  </conditionalFormatting>
  <conditionalFormatting sqref="CE4:CE9 H4:I9 H11:I15 CE11:CE15 H25:I28 A29:E34 CE25:CE29 CE23 H23:I23 A19:E20 A21:B23 D21:E23">
    <cfRule type="expression" dxfId="109" priority="174" stopIfTrue="1">
      <formula>MOD(ROW(),2)</formula>
    </cfRule>
  </conditionalFormatting>
  <conditionalFormatting sqref="CC4:CC9 BZ4:BZ9 BW4:BW9 BT4:BT9 BQ4:BQ9 BN4:BN9 BK4:BK9 BH4:BH9 BE4:BE9 BB4:BB9 X4:X9 U4:U9 R4:R9 O4:O9 AY4:AY9 AV4:AV9 AS4:AS9 AP4:AP9 AM4:AM9 AJ4:AJ9 AG4:AG9 AD4:AD9 AA4:AA9 L4:L9 L11:L15 AA11:AA15 AD11:AD15 AG11:AG15 AJ11:AJ15 AM11:AM15 AP11:AP15 AS11:AS15 AV11:AV15 AY11:AY15 O11:O15 R11:R15 U11:U15 X11:X15 BB11:BB15 BE11:BE15 BH11:BH15 BK11:BK15 BN11:BN15 BQ11:BQ15 BT11:BT15 BW11:BW15 BZ11:BZ15 CC11:CC15 CC25:CC28 BZ25:BZ28 BW25:BW28 BT25:BT28 BQ25:BQ28 BN25:BN28 BK25:BK28 BH25:BH28 BE25:BE28 BB25:BB28 X25:X28 U25:U28 R25:R28 O25:O28 AY25:AY28 AV25:AV28 AS25:AS28 AP25:AP28 AM25:AM28 AJ25:AJ28 AG25:AG28 AD25:AD28 AA25:AA28 L25:L28">
    <cfRule type="cellIs" dxfId="108" priority="175" stopIfTrue="1" operator="equal">
      <formula>"Pending"</formula>
    </cfRule>
    <cfRule type="cellIs" dxfId="107" priority="175" stopIfTrue="1" operator="equal">
      <formula>"In Progress"</formula>
    </cfRule>
    <cfRule type="cellIs" dxfId="106" priority="175" stopIfTrue="1" operator="equal">
      <formula>"Complete"</formula>
    </cfRule>
  </conditionalFormatting>
  <conditionalFormatting sqref="J1:CC1">
    <cfRule type="expression" dxfId="105" priority="162" stopIfTrue="1">
      <formula>J$1=TODAY()+DailyScrumDateModifier</formula>
    </cfRule>
    <cfRule type="expression" dxfId="104" priority="162" stopIfTrue="1">
      <formula>J$1=TODAY()</formula>
    </cfRule>
  </conditionalFormatting>
  <conditionalFormatting sqref="G30">
    <cfRule type="cellIs" dxfId="103" priority="165" stopIfTrue="1" operator="equal">
      <formula>"Complete"</formula>
    </cfRule>
    <cfRule type="cellIs" dxfId="102" priority="165" stopIfTrue="1" operator="equal">
      <formula>"In Progress"</formula>
    </cfRule>
  </conditionalFormatting>
  <conditionalFormatting sqref="G22 G4:G15 G19 G17 G24:G28">
    <cfRule type="cellIs" dxfId="101" priority="178" stopIfTrue="1" operator="equal">
      <formula>"Complete"</formula>
    </cfRule>
    <cfRule type="cellIs" dxfId="100" priority="178" stopIfTrue="1" operator="equal">
      <formula>"In Progress"</formula>
    </cfRule>
    <cfRule type="cellIs" dxfId="99" priority="178" stopIfTrue="1" operator="equal">
      <formula>"Pending"</formula>
    </cfRule>
  </conditionalFormatting>
  <conditionalFormatting sqref="P10 AZ10 BC10 BF10 BI10 BL10 BO10 BR10 BU10 BX10 CA10 AW10 AN10:AN28">
    <cfRule type="expression" dxfId="98" priority="144" stopIfTrue="1">
      <formula>P$1=TODAY()+DailyScrumDateModifier</formula>
    </cfRule>
  </conditionalFormatting>
  <conditionalFormatting sqref="AO10 AI10 T10 K10 BA10 BD10 BG10 BJ10 BM10 BP10 BS10 BV10 BY10 CB10 Q10 W10 Z10 AC10 AF10 AL10 AR10 AU10 AX10 N10">
    <cfRule type="expression" dxfId="97" priority="145" stopIfTrue="1">
      <formula>J$1=TODAY()+DailyScrumDateModifier</formula>
    </cfRule>
  </conditionalFormatting>
  <conditionalFormatting sqref="H10:I10 CE10">
    <cfRule type="expression" dxfId="96" priority="146" stopIfTrue="1">
      <formula>MOD(ROW(),2)</formula>
    </cfRule>
  </conditionalFormatting>
  <conditionalFormatting sqref="L10 AA10 AD10 AG10 AJ10 AM10 AP10 AS10 AV10 AY10 O10 R10 U10 X10 BB10 BE10 BH10 BK10 BN10 BQ10 BT10 BW10 BZ10 CC10">
    <cfRule type="cellIs" dxfId="95" priority="147" stopIfTrue="1" operator="equal">
      <formula>"Pending"</formula>
    </cfRule>
  </conditionalFormatting>
  <conditionalFormatting sqref="CA24 BX24 BU24 BR24 BO24 BL24 BI24 BF24 BC24 AZ24">
    <cfRule type="expression" dxfId="94" priority="133" stopIfTrue="1">
      <formula>AZ$1=TODAY()+DailyScrumDateModifier</formula>
    </cfRule>
  </conditionalFormatting>
  <conditionalFormatting sqref="N24 AX24 AU24 AR24 AL24 AF24 AC24 Z24 W24 Q24 CB24 BY24 BV24 BS24 BP24 BM24 BJ24 BG24 BD24 BA24 K24 T24 AI24 AO24">
    <cfRule type="expression" dxfId="93" priority="134" stopIfTrue="1">
      <formula>J$1=TODAY()+DailyScrumDateModifier</formula>
    </cfRule>
  </conditionalFormatting>
  <conditionalFormatting sqref="CE24 H24:I24">
    <cfRule type="expression" dxfId="92" priority="135" stopIfTrue="1">
      <formula>MOD(ROW(),2)</formula>
    </cfRule>
  </conditionalFormatting>
  <conditionalFormatting sqref="CC24 BZ24 BW24 BT24 BQ24 BN24 BK24 BH24 BE24 BB24 X24 U24 R24 O24 AY24 AV24 AS24 AP24 AM24 AJ24 AG24 AD24 AA24 L24">
    <cfRule type="cellIs" dxfId="91" priority="136" stopIfTrue="1" operator="equal">
      <formula>"Pending"</formula>
    </cfRule>
  </conditionalFormatting>
  <conditionalFormatting sqref="CC23 BZ23 BW23 BT23 BQ23 BN23 BK23 R23 O23 X23 BH23 BE23 BB23 AY23 AV23 AS23 AG23 AP23 AD23 AM23 AA23 AJ23 L23 U23">
    <cfRule type="cellIs" dxfId="90" priority="125" stopIfTrue="1" operator="equal">
      <formula>"In Progress"</formula>
    </cfRule>
    <cfRule type="cellIs" dxfId="89" priority="125" stopIfTrue="1" operator="equal">
      <formula>"Pending"</formula>
    </cfRule>
    <cfRule type="cellIs" dxfId="88" priority="126" stopIfTrue="1" operator="equal">
      <formula>"Complete"</formula>
    </cfRule>
  </conditionalFormatting>
  <conditionalFormatting sqref="G23">
    <cfRule type="cellIs" dxfId="87" priority="179" stopIfTrue="1" operator="equal">
      <formula>"In Progress"</formula>
    </cfRule>
    <cfRule type="cellIs" dxfId="86" priority="179" stopIfTrue="1" operator="equal">
      <formula>"Pending"</formula>
    </cfRule>
    <cfRule type="cellIs" dxfId="85" priority="179" stopIfTrue="1" operator="equal">
      <formula>"Complete"</formula>
    </cfRule>
  </conditionalFormatting>
  <conditionalFormatting sqref="CA22 BX22 BU22 BR22 BO22 BL22 BI22 BF22 BC22 AZ22">
    <cfRule type="expression" dxfId="84" priority="111" stopIfTrue="1">
      <formula>AZ$1=TODAY()+DailyScrumDateModifier</formula>
    </cfRule>
    <cfRule type="expression" dxfId="83" priority="117" stopIfTrue="1">
      <formula>MOD(ROW(),2)</formula>
    </cfRule>
  </conditionalFormatting>
  <conditionalFormatting sqref="N22 AX22 AU22 AR22 AL22 AF22 AC22 Z22 W22 Q22 CB22 BY22 BV22 BS22 BP22 BM22 BJ22 BG22 BD22 BA22 K22 T22 AI22 AO22">
    <cfRule type="expression" dxfId="82" priority="112" stopIfTrue="1">
      <formula>J$1=TODAY()+DailyScrumDateModifier</formula>
    </cfRule>
    <cfRule type="expression" dxfId="81" priority="116" stopIfTrue="1">
      <formula>MOD(ROW(),2)</formula>
    </cfRule>
  </conditionalFormatting>
  <conditionalFormatting sqref="CE22 H22:I22">
    <cfRule type="expression" dxfId="80" priority="113" stopIfTrue="1">
      <formula>MOD(ROW(),2)</formula>
    </cfRule>
  </conditionalFormatting>
  <conditionalFormatting sqref="CC22 BZ22 BW22 BT22 BQ22 BN22 BK22 BH22 BE22 BB22 X22 U22 R22 O22 AY22 AV22 AS22 AP22 AM22 AJ22 AG22 AD22 AA22 L22">
    <cfRule type="cellIs" dxfId="79" priority="114" stopIfTrue="1" operator="equal">
      <formula>"In Progress"</formula>
    </cfRule>
    <cfRule type="cellIs" dxfId="78" priority="115" stopIfTrue="1" operator="equal">
      <formula>"Complete"</formula>
    </cfRule>
  </conditionalFormatting>
  <conditionalFormatting sqref="CA20:CA21 BX20:BX21 BU20:BU21 BR20:BR21 BO20:BO21 BL20:BL21 BI20:BI21 BF20:BF21 BC20:BC21 AZ20:AZ21">
    <cfRule type="expression" dxfId="77" priority="100" stopIfTrue="1">
      <formula>AZ$1=TODAY()+DailyScrumDateModifier</formula>
    </cfRule>
    <cfRule type="expression" dxfId="76" priority="106" stopIfTrue="1">
      <formula>MOD(ROW(),2)</formula>
    </cfRule>
  </conditionalFormatting>
  <conditionalFormatting sqref="N20 AX20:AX21 AU20:AU21 AR20:AR21 AL20 AF20 AC20 Z20 W20 Q20 CB20:CB21 BY20:BY21 BV20:BV21 BS20:BS21 BP20:BP21 BM20:BM21 BJ20:BJ21 BG20:BG21 BD20:BD21 BA20:BA21 K20:K21 T20 AI20 AO20:AO21">
    <cfRule type="expression" dxfId="75" priority="101" stopIfTrue="1">
      <formula>J$1=TODAY()+DailyScrumDateModifier</formula>
    </cfRule>
    <cfRule type="expression" dxfId="74" priority="105" stopIfTrue="1">
      <formula>MOD(ROW(),2)</formula>
    </cfRule>
  </conditionalFormatting>
  <conditionalFormatting sqref="CE20:CE21 H20:I21">
    <cfRule type="expression" dxfId="73" priority="102" stopIfTrue="1">
      <formula>MOD(ROW(),2)</formula>
    </cfRule>
  </conditionalFormatting>
  <conditionalFormatting sqref="CC20:CC21 BZ20:BZ21 BW20:BW21 BT20:BT21 BQ20:BQ21 BN20:BN21 BK20:BK21 BH20:BH21 BE20:BE21 BB20:BB21 X20:X21 U20:U21 R20:R21 O20:O21 AY20:AY21 AV20:AV21 AS20:AS21 AP20:AP21 AM20:AM21 AJ20:AJ21 AG20:AG21 AD20:AD21 AA20:AA21 L20:L21">
    <cfRule type="cellIs" dxfId="72" priority="103" stopIfTrue="1" operator="equal">
      <formula>"Pending"</formula>
    </cfRule>
    <cfRule type="cellIs" dxfId="71" priority="103" stopIfTrue="1" operator="equal">
      <formula>"In Progress"</formula>
    </cfRule>
    <cfRule type="cellIs" dxfId="70" priority="104" stopIfTrue="1" operator="equal">
      <formula>"Complete"</formula>
    </cfRule>
  </conditionalFormatting>
  <conditionalFormatting sqref="G20:G21">
    <cfRule type="cellIs" dxfId="69" priority="180" stopIfTrue="1" operator="equal">
      <formula>"In Progress"</formula>
    </cfRule>
    <cfRule type="cellIs" dxfId="68" priority="180" stopIfTrue="1" operator="equal">
      <formula>"Pending"</formula>
    </cfRule>
    <cfRule type="cellIs" dxfId="67" priority="180" stopIfTrue="1" operator="equal">
      <formula>"Complete"</formula>
    </cfRule>
  </conditionalFormatting>
  <conditionalFormatting sqref="CA19 BX19 BU19 BR19 BO19 BL19 BI19 BF19 BC19 AZ19">
    <cfRule type="expression" dxfId="66" priority="45" stopIfTrue="1">
      <formula>AZ$1=TODAY()+DailyScrumDateModifier</formula>
    </cfRule>
    <cfRule type="expression" dxfId="65" priority="51" stopIfTrue="1">
      <formula>MOD(ROW(),2)</formula>
    </cfRule>
  </conditionalFormatting>
  <conditionalFormatting sqref="N19 AX19 AU19 AR19 AL19 AF19 AC19 Z19 W19 Q19 CB19 BY19 BV19 BS19 BP19 BM19 BJ19 BG19 BD19 BA19 K19 T19 AI19 AO19">
    <cfRule type="expression" dxfId="64" priority="46" stopIfTrue="1">
      <formula>J$1=TODAY()+DailyScrumDateModifier</formula>
    </cfRule>
    <cfRule type="expression" dxfId="63" priority="50" stopIfTrue="1">
      <formula>MOD(ROW(),2)</formula>
    </cfRule>
  </conditionalFormatting>
  <conditionalFormatting sqref="CE19 H19:I19">
    <cfRule type="expression" dxfId="62" priority="47" stopIfTrue="1">
      <formula>MOD(ROW(),2)</formula>
    </cfRule>
  </conditionalFormatting>
  <conditionalFormatting sqref="CC19 BZ19 BW19 BT19 BQ19 BN19 BK19 BH19 BE19 BB19 X19 U19 R19 O19 AY19 AV19 AS19 AP19 AM19 AJ19 AG19 AD19 AA19 L19">
    <cfRule type="cellIs" dxfId="61" priority="48" stopIfTrue="1" operator="equal">
      <formula>"Pending"</formula>
    </cfRule>
    <cfRule type="cellIs" dxfId="60" priority="49" stopIfTrue="1" operator="equal">
      <formula>"Complete"</formula>
    </cfRule>
  </conditionalFormatting>
  <conditionalFormatting sqref="CA18 BX18 BU18 BR18 BO18 BL18 BI18 BF18 BC18 AZ18">
    <cfRule type="expression" dxfId="59" priority="34" stopIfTrue="1">
      <formula>AZ$1=TODAY()+DailyScrumDateModifier</formula>
    </cfRule>
    <cfRule type="expression" dxfId="58" priority="40" stopIfTrue="1">
      <formula>MOD(ROW(),2)</formula>
    </cfRule>
  </conditionalFormatting>
  <conditionalFormatting sqref="N18 AX18 AU18 AR18 AL18 AF18 AC18 Z18 W18 Q18 CB18 BY18 BV18 BS18 BP18 BM18 BJ18 BG18 BD18 BA18 K18 T18 AI18 AO18">
    <cfRule type="expression" dxfId="57" priority="35" stopIfTrue="1">
      <formula>J$1=TODAY()+DailyScrumDateModifier</formula>
    </cfRule>
    <cfRule type="expression" dxfId="56" priority="39" stopIfTrue="1">
      <formula>MOD(ROW(),2)</formula>
    </cfRule>
  </conditionalFormatting>
  <conditionalFormatting sqref="CE18 H18:I18">
    <cfRule type="expression" dxfId="55" priority="36" stopIfTrue="1">
      <formula>MOD(ROW(),2)</formula>
    </cfRule>
  </conditionalFormatting>
  <conditionalFormatting sqref="CC18 BZ18 BW18 BT18 BQ18 BN18 BK18 BH18 BE18 BB18 X18 U18 R18 O18 AY18 AV18 AS18 AP18 AM18 AJ18 AG18 AD18 AA18 L18">
    <cfRule type="cellIs" dxfId="54" priority="37" stopIfTrue="1" operator="equal">
      <formula>"In Progress"</formula>
    </cfRule>
    <cfRule type="cellIs" dxfId="53" priority="37" stopIfTrue="1" operator="equal">
      <formula>"Pending"</formula>
    </cfRule>
    <cfRule type="cellIs" dxfId="52" priority="38" stopIfTrue="1" operator="equal">
      <formula>"Complete"</formula>
    </cfRule>
  </conditionalFormatting>
  <conditionalFormatting sqref="G18">
    <cfRule type="cellIs" dxfId="51" priority="41" stopIfTrue="1" operator="equal">
      <formula>"In Progress"</formula>
    </cfRule>
    <cfRule type="cellIs" dxfId="50" priority="181" stopIfTrue="1" operator="equal">
      <formula>"Pending"</formula>
    </cfRule>
    <cfRule type="cellIs" dxfId="49" priority="181" stopIfTrue="1" operator="equal">
      <formula>"Complete"</formula>
    </cfRule>
  </conditionalFormatting>
  <conditionalFormatting sqref="CA17 BX17 BU17 BR17 BO17 BL17 BI17 BF17 BC17 AZ17">
    <cfRule type="expression" dxfId="48" priority="23" stopIfTrue="1">
      <formula>AZ$1=TODAY()+DailyScrumDateModifier</formula>
    </cfRule>
    <cfRule type="expression" dxfId="47" priority="29" stopIfTrue="1">
      <formula>MOD(ROW(),2)</formula>
    </cfRule>
  </conditionalFormatting>
  <conditionalFormatting sqref="N17 AX17 AU17 AR17 AL17 AF17 AC17 Z17 W17 Q17 CB17 BY17 BV17 BS17 BP17 BM17 BJ17 BG17 BD17 BA17 K17 T17 AI17 AO17">
    <cfRule type="expression" dxfId="46" priority="24" stopIfTrue="1">
      <formula>J$1=TODAY()+DailyScrumDateModifier</formula>
    </cfRule>
    <cfRule type="expression" dxfId="45" priority="28" stopIfTrue="1">
      <formula>MOD(ROW(),2)</formula>
    </cfRule>
  </conditionalFormatting>
  <conditionalFormatting sqref="CE17 H17:I17">
    <cfRule type="expression" dxfId="44" priority="25" stopIfTrue="1">
      <formula>MOD(ROW(),2)</formula>
    </cfRule>
  </conditionalFormatting>
  <conditionalFormatting sqref="CC17 BZ17 BW17 BT17 BQ17 BN17 BK17 BH17 BE17 BB17 X17 U17 R17 O17 AY17 AV17 AS17 AP17 AM17 AJ17 AG17 AD17 AA17 L17">
    <cfRule type="cellIs" dxfId="43" priority="26" stopIfTrue="1" operator="equal">
      <formula>"In Progress"</formula>
    </cfRule>
    <cfRule type="cellIs" dxfId="42" priority="27" stopIfTrue="1" operator="equal">
      <formula>"Complete"</formula>
    </cfRule>
  </conditionalFormatting>
  <conditionalFormatting sqref="CA16 BX16 BU16 BR16 BO16 BL16 BI16 BF16 BC16 AZ16">
    <cfRule type="expression" dxfId="41" priority="12" stopIfTrue="1">
      <formula>AZ$1=TODAY()+DailyScrumDateModifier</formula>
    </cfRule>
    <cfRule type="expression" dxfId="40" priority="18" stopIfTrue="1">
      <formula>MOD(ROW(),2)</formula>
    </cfRule>
  </conditionalFormatting>
  <conditionalFormatting sqref="N16 AX16 AU16 AR16 AL16 AF16 AC16 Z16 W16 Q16 CB16 BY16 BV16 BS16 BP16 BM16 BJ16 BG16 BD16 BA16 K16 T16 AI16 AO16">
    <cfRule type="expression" dxfId="39" priority="13" stopIfTrue="1">
      <formula>J$1=TODAY()+DailyScrumDateModifier</formula>
    </cfRule>
    <cfRule type="expression" dxfId="38" priority="17" stopIfTrue="1">
      <formula>MOD(ROW(),2)</formula>
    </cfRule>
  </conditionalFormatting>
  <conditionalFormatting sqref="CE16 H16:I16">
    <cfRule type="expression" dxfId="37" priority="14" stopIfTrue="1">
      <formula>MOD(ROW(),2)</formula>
    </cfRule>
  </conditionalFormatting>
  <conditionalFormatting sqref="CC16 BZ16 BW16 BT16 BQ16 BN16 BK16 BH16 BE16 BB16 X16 U16 R16 O16 AY16 AV16 AS16 AP16 AM16 AJ16 AG16 AD16 AA16 L16">
    <cfRule type="cellIs" dxfId="36" priority="15" stopIfTrue="1" operator="equal">
      <formula>"Pending"</formula>
    </cfRule>
    <cfRule type="cellIs" dxfId="35" priority="15" stopIfTrue="1" operator="equal">
      <formula>"In Progress"</formula>
    </cfRule>
    <cfRule type="cellIs" dxfId="34" priority="16" stopIfTrue="1" operator="equal">
      <formula>"Complete"</formula>
    </cfRule>
  </conditionalFormatting>
  <conditionalFormatting sqref="G16">
    <cfRule type="cellIs" dxfId="33" priority="19" stopIfTrue="1" operator="equal">
      <formula>"In Progress"</formula>
    </cfRule>
    <cfRule type="cellIs" dxfId="32" priority="182" stopIfTrue="1" operator="equal">
      <formula>"Pending"</formula>
    </cfRule>
    <cfRule type="cellIs" dxfId="31" priority="182" stopIfTrue="1" operator="equal">
      <formula>"Complete"</formula>
    </cfRule>
  </conditionalFormatting>
  <conditionalFormatting sqref="A24:B24 D24:E24">
    <cfRule type="expression" dxfId="30" priority="7" stopIfTrue="1">
      <formula>MOD(ROW(),2)</formula>
    </cfRule>
  </conditionalFormatting>
  <conditionalFormatting sqref="D4:D12 A4:B12 A14:B18 D14:D18 A28:B28 A25:B25 E22:I22 D25:E25 D28:E28">
    <cfRule type="expression" dxfId="29" priority="11" stopIfTrue="1">
      <formula>MOD(ROW(),2)</formula>
    </cfRule>
  </conditionalFormatting>
  <conditionalFormatting sqref="A13:B13 D13">
    <cfRule type="expression" dxfId="28" priority="10" stopIfTrue="1">
      <formula>MOD(ROW(),2)</formula>
    </cfRule>
  </conditionalFormatting>
  <conditionalFormatting sqref="A27:B27 D27:E27">
    <cfRule type="expression" dxfId="27" priority="9" stopIfTrue="1">
      <formula>MOD(ROW(),2)</formula>
    </cfRule>
  </conditionalFormatting>
  <conditionalFormatting sqref="A26:B26 D26:E26">
    <cfRule type="expression" dxfId="26" priority="8" stopIfTrue="1">
      <formula>MOD(ROW(),2)</formula>
    </cfRule>
  </conditionalFormatting>
  <dataValidations count="3">
    <dataValidation type="list" allowBlank="1" showInputMessage="1" showErrorMessage="1" sqref="F4:F34">
      <formula1>Members</formula1>
    </dataValidation>
    <dataValidation type="list" allowBlank="1" showInputMessage="1" showErrorMessage="1" sqref="A4:A34">
      <formula1>Worktype</formula1>
    </dataValidation>
    <dataValidation type="list" allowBlank="1" showInputMessage="1" showErrorMessage="1" sqref="B4:B34">
      <formula1>Deliverable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4" r:id="rId4" name="BtnInsertNewLineAtEnd">
          <controlPr defaultSize="0" autoLine="0" r:id="rId5">
            <anchor moveWithCells="1">
              <from>
                <xdr:col>4</xdr:col>
                <xdr:colOff>1171575</xdr:colOff>
                <xdr:row>1</xdr:row>
                <xdr:rowOff>9525</xdr:rowOff>
              </from>
              <to>
                <xdr:col>4</xdr:col>
                <xdr:colOff>2409825</xdr:colOff>
                <xdr:row>2</xdr:row>
                <xdr:rowOff>114300</xdr:rowOff>
              </to>
            </anchor>
          </controlPr>
        </control>
      </mc:Choice>
      <mc:Fallback>
        <control shapeId="6274" r:id="rId4" name="BtnInsertNewLineAtEnd"/>
      </mc:Fallback>
    </mc:AlternateContent>
    <mc:AlternateContent xmlns:mc="http://schemas.openxmlformats.org/markup-compatibility/2006">
      <mc:Choice Requires="x14">
        <control shapeId="6275" r:id="rId6" name="BtnInsertNewLine">
          <controlPr defaultSize="0" autoLine="0" r:id="rId7">
            <anchor moveWithCells="1">
              <from>
                <xdr:col>4</xdr:col>
                <xdr:colOff>38100</xdr:colOff>
                <xdr:row>1</xdr:row>
                <xdr:rowOff>9525</xdr:rowOff>
              </from>
              <to>
                <xdr:col>4</xdr:col>
                <xdr:colOff>1095375</xdr:colOff>
                <xdr:row>2</xdr:row>
                <xdr:rowOff>114300</xdr:rowOff>
              </to>
            </anchor>
          </controlPr>
        </control>
      </mc:Choice>
      <mc:Fallback>
        <control shapeId="6275" r:id="rId6" name="BtnInsertNewLin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D51"/>
  <sheetViews>
    <sheetView topLeftCell="A10" zoomScaleNormal="100" workbookViewId="0">
      <selection activeCell="Q23" sqref="Q23"/>
    </sheetView>
  </sheetViews>
  <sheetFormatPr defaultRowHeight="12.75" x14ac:dyDescent="0.2"/>
  <cols>
    <col min="1" max="1" width="9.140625" style="6"/>
    <col min="2" max="2" width="9.42578125" style="6" customWidth="1"/>
    <col min="3" max="4" width="9.140625" style="6"/>
    <col min="5" max="24" width="9.28515625" style="6" bestFit="1" customWidth="1"/>
    <col min="25" max="25" width="9.7109375" style="6" customWidth="1"/>
    <col min="26" max="30" width="9.28515625" style="6" bestFit="1" customWidth="1"/>
    <col min="31" max="16384" width="9.140625" style="6"/>
  </cols>
  <sheetData>
    <row r="1" spans="1:1" x14ac:dyDescent="0.2">
      <c r="A1" s="139"/>
    </row>
    <row r="19" spans="1:14" x14ac:dyDescent="0.2">
      <c r="A19" s="148" t="str">
        <f>IF(SkipWeekends, "Working Day", "Calendar Day")</f>
        <v>Working Day</v>
      </c>
      <c r="B19" s="149"/>
      <c r="C19" s="150"/>
      <c r="D19" s="151"/>
      <c r="E19" s="150">
        <v>1</v>
      </c>
      <c r="F19" s="150">
        <v>2</v>
      </c>
      <c r="G19" s="150">
        <v>3</v>
      </c>
      <c r="H19" s="150">
        <v>4</v>
      </c>
      <c r="I19" s="150">
        <v>5</v>
      </c>
      <c r="J19" s="150">
        <v>6</v>
      </c>
      <c r="K19" s="150">
        <v>7</v>
      </c>
      <c r="L19" s="150">
        <v>8</v>
      </c>
      <c r="M19" s="150">
        <v>9</v>
      </c>
      <c r="N19" s="150">
        <v>10</v>
      </c>
    </row>
    <row r="20" spans="1:14" x14ac:dyDescent="0.2">
      <c r="A20" s="148" t="s">
        <v>21</v>
      </c>
      <c r="B20" s="149"/>
      <c r="C20" s="150"/>
      <c r="D20" s="151"/>
      <c r="E20" s="152">
        <f>INDEX(SprintDates,1,(E19-1)*BurndownColumns+1)</f>
        <v>42683</v>
      </c>
      <c r="F20" s="152">
        <f t="shared" ref="F20:N20" si="0">INDEX(SprintDates,1,(F19-1)*BurndownColumns+1)</f>
        <v>42684</v>
      </c>
      <c r="G20" s="152">
        <f t="shared" si="0"/>
        <v>42685</v>
      </c>
      <c r="H20" s="152">
        <f t="shared" si="0"/>
        <v>42688</v>
      </c>
      <c r="I20" s="152">
        <f t="shared" si="0"/>
        <v>42689</v>
      </c>
      <c r="J20" s="152">
        <f t="shared" si="0"/>
        <v>42690</v>
      </c>
      <c r="K20" s="152">
        <f t="shared" si="0"/>
        <v>42691</v>
      </c>
      <c r="L20" s="152">
        <f t="shared" si="0"/>
        <v>42692</v>
      </c>
      <c r="M20" s="152">
        <f t="shared" si="0"/>
        <v>42695</v>
      </c>
      <c r="N20" s="152">
        <f t="shared" si="0"/>
        <v>42696</v>
      </c>
    </row>
    <row r="21" spans="1:14" x14ac:dyDescent="0.2">
      <c r="A21" s="148"/>
      <c r="B21" s="149"/>
      <c r="C21" s="150"/>
      <c r="D21" s="151"/>
      <c r="E21" s="152"/>
      <c r="F21" s="152"/>
      <c r="G21" s="152"/>
      <c r="H21" s="152"/>
      <c r="I21" s="152"/>
      <c r="J21" s="152"/>
      <c r="K21" s="152"/>
      <c r="L21" s="152"/>
      <c r="M21" s="152"/>
      <c r="N21" s="152"/>
    </row>
    <row r="22" spans="1:14" x14ac:dyDescent="0.2">
      <c r="A22" s="148" t="s">
        <v>8</v>
      </c>
      <c r="B22" s="150"/>
      <c r="C22" s="153"/>
      <c r="D22" s="154"/>
      <c r="E22" s="150">
        <f t="shared" ref="E22:N22" ca="1" si="1">IF(E20&gt;TODAY(), #N/A, SUM(INDEX(Burndown,,(E19-1)*BurndownColumns+HoursLeftColumn)))</f>
        <v>121</v>
      </c>
      <c r="F22" s="150">
        <f t="shared" ca="1" si="1"/>
        <v>107</v>
      </c>
      <c r="G22" s="150">
        <f t="shared" ca="1" si="1"/>
        <v>94</v>
      </c>
      <c r="H22" s="150">
        <f t="shared" ca="1" si="1"/>
        <v>80</v>
      </c>
      <c r="I22" s="150">
        <f t="shared" ca="1" si="1"/>
        <v>67</v>
      </c>
      <c r="J22" s="150">
        <f t="shared" ca="1" si="1"/>
        <v>54</v>
      </c>
      <c r="K22" s="150">
        <f t="shared" ca="1" si="1"/>
        <v>42</v>
      </c>
      <c r="L22" s="150">
        <f t="shared" ca="1" si="1"/>
        <v>28</v>
      </c>
      <c r="M22" s="150">
        <f t="shared" ca="1" si="1"/>
        <v>15</v>
      </c>
      <c r="N22" s="150">
        <f t="shared" ca="1" si="1"/>
        <v>0</v>
      </c>
    </row>
    <row r="23" spans="1:14" x14ac:dyDescent="0.2">
      <c r="A23" s="155" t="s">
        <v>20</v>
      </c>
      <c r="B23" s="153"/>
      <c r="C23" s="153"/>
      <c r="D23" s="154"/>
      <c r="E23" s="151">
        <f t="shared" ref="E23:N23" ca="1" si="2">IF(E20&gt;TODAY(), #N/A, SUM(INDEX(Burndown,,(E19-1)*BurndownColumns+HoursSpentColumn)))</f>
        <v>14</v>
      </c>
      <c r="F23" s="151">
        <f t="shared" ca="1" si="2"/>
        <v>14</v>
      </c>
      <c r="G23" s="151">
        <f t="shared" ca="1" si="2"/>
        <v>13</v>
      </c>
      <c r="H23" s="151">
        <f t="shared" ca="1" si="2"/>
        <v>14</v>
      </c>
      <c r="I23" s="151">
        <f t="shared" ca="1" si="2"/>
        <v>13</v>
      </c>
      <c r="J23" s="151">
        <f t="shared" ca="1" si="2"/>
        <v>13</v>
      </c>
      <c r="K23" s="151">
        <f t="shared" ca="1" si="2"/>
        <v>12</v>
      </c>
      <c r="L23" s="151">
        <f t="shared" ca="1" si="2"/>
        <v>14</v>
      </c>
      <c r="M23" s="151">
        <f t="shared" ca="1" si="2"/>
        <v>13</v>
      </c>
      <c r="N23" s="151">
        <f t="shared" ca="1" si="2"/>
        <v>15</v>
      </c>
    </row>
    <row r="24" spans="1:14" x14ac:dyDescent="0.2">
      <c r="A24" s="155" t="s">
        <v>3</v>
      </c>
      <c r="B24" s="153"/>
      <c r="C24" s="153"/>
      <c r="D24" s="154"/>
      <c r="E24" s="151">
        <f ca="1">IF(E20&gt;TODAY(), #N/A, SUM($E23:E23))</f>
        <v>14</v>
      </c>
      <c r="F24" s="151">
        <f ca="1">IF(F20&gt;TODAY(), #N/A, SUM($E23:F23))</f>
        <v>28</v>
      </c>
      <c r="G24" s="151">
        <f ca="1">IF(G20&gt;TODAY(), #N/A, SUM($E23:G23))</f>
        <v>41</v>
      </c>
      <c r="H24" s="151">
        <f ca="1">IF(H20&gt;TODAY(), #N/A, SUM($E23:H23))</f>
        <v>55</v>
      </c>
      <c r="I24" s="151">
        <f ca="1">IF(I20&gt;TODAY(), #N/A, SUM($E23:I23))</f>
        <v>68</v>
      </c>
      <c r="J24" s="151">
        <f ca="1">IF(J20&gt;TODAY(), #N/A, SUM($E23:J23))</f>
        <v>81</v>
      </c>
      <c r="K24" s="151">
        <f ca="1">IF(K20&gt;TODAY(), #N/A, SUM($E23:K23))</f>
        <v>93</v>
      </c>
      <c r="L24" s="151">
        <f ca="1">IF(L20&gt;TODAY(), #N/A, SUM($E23:L23))</f>
        <v>107</v>
      </c>
      <c r="M24" s="151">
        <f ca="1">IF(M20&gt;TODAY(), #N/A, SUM($E23:M23))</f>
        <v>120</v>
      </c>
      <c r="N24" s="151">
        <f ca="1">IF(N20&gt;TODAY(), #N/A, SUM($E23:N23))</f>
        <v>135</v>
      </c>
    </row>
    <row r="25" spans="1:14" x14ac:dyDescent="0.2">
      <c r="A25" s="155" t="s">
        <v>22</v>
      </c>
      <c r="B25" s="153"/>
      <c r="C25" s="153"/>
      <c r="D25" s="154"/>
      <c r="E25" s="151">
        <f t="shared" ref="E25:N25" ca="1" si="3">IF(E20&gt;TODAY(), #N/A, E22+E24)</f>
        <v>135</v>
      </c>
      <c r="F25" s="151">
        <f t="shared" ca="1" si="3"/>
        <v>135</v>
      </c>
      <c r="G25" s="151">
        <f t="shared" ca="1" si="3"/>
        <v>135</v>
      </c>
      <c r="H25" s="151">
        <f t="shared" ca="1" si="3"/>
        <v>135</v>
      </c>
      <c r="I25" s="151">
        <f t="shared" ca="1" si="3"/>
        <v>135</v>
      </c>
      <c r="J25" s="151">
        <f t="shared" ca="1" si="3"/>
        <v>135</v>
      </c>
      <c r="K25" s="151">
        <f t="shared" ca="1" si="3"/>
        <v>135</v>
      </c>
      <c r="L25" s="151">
        <f t="shared" ca="1" si="3"/>
        <v>135</v>
      </c>
      <c r="M25" s="151">
        <f t="shared" ca="1" si="3"/>
        <v>135</v>
      </c>
      <c r="N25" s="151">
        <f t="shared" ca="1" si="3"/>
        <v>135</v>
      </c>
    </row>
    <row r="26" spans="1:14" x14ac:dyDescent="0.2">
      <c r="A26" s="155"/>
      <c r="B26" s="153"/>
      <c r="C26" s="153"/>
      <c r="D26" s="154"/>
      <c r="E26" s="153"/>
      <c r="F26" s="153"/>
      <c r="G26" s="153"/>
      <c r="H26" s="153"/>
      <c r="I26" s="153"/>
      <c r="J26" s="153"/>
      <c r="K26" s="153"/>
      <c r="L26" s="153"/>
      <c r="M26" s="153"/>
      <c r="N26" s="153"/>
    </row>
    <row r="27" spans="1:14" x14ac:dyDescent="0.2">
      <c r="A27" s="148" t="s">
        <v>4</v>
      </c>
      <c r="B27" s="153"/>
      <c r="C27" s="150"/>
      <c r="D27" s="154"/>
      <c r="E27" s="156">
        <f t="shared" ref="E27:N27" ca="1" si="4">IF(E20&gt;TODAY(), #N/A, E24/E19)</f>
        <v>14</v>
      </c>
      <c r="F27" s="156">
        <f t="shared" ca="1" si="4"/>
        <v>14</v>
      </c>
      <c r="G27" s="156">
        <f t="shared" ca="1" si="4"/>
        <v>13.666666666666666</v>
      </c>
      <c r="H27" s="156">
        <f t="shared" ca="1" si="4"/>
        <v>13.75</v>
      </c>
      <c r="I27" s="156">
        <f t="shared" ca="1" si="4"/>
        <v>13.6</v>
      </c>
      <c r="J27" s="156">
        <f t="shared" ca="1" si="4"/>
        <v>13.5</v>
      </c>
      <c r="K27" s="156">
        <f t="shared" ca="1" si="4"/>
        <v>13.285714285714286</v>
      </c>
      <c r="L27" s="156">
        <f t="shared" ca="1" si="4"/>
        <v>13.375</v>
      </c>
      <c r="M27" s="156">
        <f t="shared" ca="1" si="4"/>
        <v>13.333333333333334</v>
      </c>
      <c r="N27" s="156">
        <f t="shared" ca="1" si="4"/>
        <v>13.5</v>
      </c>
    </row>
    <row r="28" spans="1:14" x14ac:dyDescent="0.2">
      <c r="A28" s="155" t="s">
        <v>5</v>
      </c>
      <c r="B28" s="153"/>
      <c r="C28" s="153"/>
      <c r="D28" s="154"/>
      <c r="E28" s="157">
        <f t="shared" ref="E28:N28" ca="1" si="5">IF(E20&gt;TODAY(), #N/A, IF(E27=0, SprintStart, E20 + (E22/E27)))</f>
        <v>42691.642857142855</v>
      </c>
      <c r="F28" s="157">
        <f t="shared" ca="1" si="5"/>
        <v>42691.642857142855</v>
      </c>
      <c r="G28" s="157">
        <f t="shared" ca="1" si="5"/>
        <v>42691.878048780491</v>
      </c>
      <c r="H28" s="157">
        <f t="shared" ca="1" si="5"/>
        <v>42693.818181818184</v>
      </c>
      <c r="I28" s="157">
        <f t="shared" ca="1" si="5"/>
        <v>42693.926470588238</v>
      </c>
      <c r="J28" s="157">
        <f t="shared" ca="1" si="5"/>
        <v>42694</v>
      </c>
      <c r="K28" s="157">
        <f t="shared" ca="1" si="5"/>
        <v>42694.161290322583</v>
      </c>
      <c r="L28" s="157">
        <f t="shared" ca="1" si="5"/>
        <v>42694.093457943927</v>
      </c>
      <c r="M28" s="157">
        <f t="shared" ca="1" si="5"/>
        <v>42696.125</v>
      </c>
      <c r="N28" s="157">
        <f t="shared" ca="1" si="5"/>
        <v>42696</v>
      </c>
    </row>
    <row r="29" spans="1:14" x14ac:dyDescent="0.2">
      <c r="A29" s="155" t="s">
        <v>31</v>
      </c>
      <c r="B29" s="153"/>
      <c r="C29" s="153"/>
      <c r="D29" s="154"/>
      <c r="E29" s="157">
        <f t="shared" ref="E29:N29" ca="1" si="6">IF(E$20&gt;TODAY(), #N/A, IF(E$33&gt;0, SprintStart+((E$25*E$19)/E$33)-1, SprintStart))</f>
        <v>42683</v>
      </c>
      <c r="F29" s="157">
        <f t="shared" ca="1" si="6"/>
        <v>42749.5</v>
      </c>
      <c r="G29" s="157">
        <f t="shared" ca="1" si="6"/>
        <v>42703.315789473687</v>
      </c>
      <c r="H29" s="157">
        <f t="shared" ca="1" si="6"/>
        <v>42697.428571428572</v>
      </c>
      <c r="I29" s="157">
        <f t="shared" ca="1" si="6"/>
        <v>42697</v>
      </c>
      <c r="J29" s="157">
        <f t="shared" ca="1" si="6"/>
        <v>42694.857142857145</v>
      </c>
      <c r="K29" s="157">
        <f t="shared" ca="1" si="6"/>
        <v>42694.434210526313</v>
      </c>
      <c r="L29" s="157">
        <f t="shared" ca="1" si="6"/>
        <v>42693.612903225803</v>
      </c>
      <c r="M29" s="157">
        <f t="shared" ca="1" si="6"/>
        <v>42694.789473684214</v>
      </c>
      <c r="N29" s="157">
        <f t="shared" ca="1" si="6"/>
        <v>42692.384615384617</v>
      </c>
    </row>
    <row r="30" spans="1:14" x14ac:dyDescent="0.2">
      <c r="A30" s="155"/>
      <c r="B30" s="153"/>
      <c r="C30" s="153"/>
      <c r="D30" s="154"/>
      <c r="E30" s="153"/>
      <c r="F30" s="153"/>
      <c r="G30" s="153"/>
      <c r="H30" s="153"/>
      <c r="I30" s="153"/>
      <c r="J30" s="153"/>
      <c r="K30" s="153"/>
      <c r="L30" s="153"/>
      <c r="M30" s="153"/>
      <c r="N30" s="153"/>
    </row>
    <row r="31" spans="1:14" x14ac:dyDescent="0.2">
      <c r="A31" s="155" t="s">
        <v>27</v>
      </c>
      <c r="B31" s="153"/>
      <c r="C31" s="153"/>
      <c r="D31" s="154"/>
      <c r="E31" s="153">
        <f t="shared" ref="E31:N31" ca="1" si="7">IF(E$20&gt;TODAY(), #N/A, SUMIF(INDEX(Burndown,,(E$19-1)*BurndownColumns+StatusColumn), "=Pending",INDEX(Burndown,,(E$19-1)*BurndownColumns+HoursLeftColumn)))</f>
        <v>85</v>
      </c>
      <c r="F31" s="153">
        <f t="shared" ca="1" si="7"/>
        <v>85</v>
      </c>
      <c r="G31" s="153">
        <f t="shared" ca="1" si="7"/>
        <v>73</v>
      </c>
      <c r="H31" s="153">
        <f t="shared" ca="1" si="7"/>
        <v>48</v>
      </c>
      <c r="I31" s="153">
        <f t="shared" ca="1" si="7"/>
        <v>41</v>
      </c>
      <c r="J31" s="153">
        <f t="shared" ca="1" si="7"/>
        <v>32</v>
      </c>
      <c r="K31" s="153">
        <f t="shared" ca="1" si="7"/>
        <v>18</v>
      </c>
      <c r="L31" s="153">
        <f t="shared" ca="1" si="7"/>
        <v>5</v>
      </c>
      <c r="M31" s="153">
        <f t="shared" ca="1" si="7"/>
        <v>0</v>
      </c>
      <c r="N31" s="153">
        <f t="shared" ca="1" si="7"/>
        <v>0</v>
      </c>
    </row>
    <row r="32" spans="1:14" x14ac:dyDescent="0.2">
      <c r="A32" s="155" t="s">
        <v>28</v>
      </c>
      <c r="B32" s="153"/>
      <c r="C32" s="153"/>
      <c r="D32" s="154"/>
      <c r="E32" s="158">
        <f t="shared" ref="E32:N32" ca="1" si="8">E$22-E$31+E$24-E$33</f>
        <v>50</v>
      </c>
      <c r="F32" s="158">
        <f t="shared" ca="1" si="8"/>
        <v>46</v>
      </c>
      <c r="G32" s="158">
        <f t="shared" ca="1" si="8"/>
        <v>43</v>
      </c>
      <c r="H32" s="158">
        <f t="shared" ca="1" si="8"/>
        <v>52</v>
      </c>
      <c r="I32" s="158">
        <f t="shared" ca="1" si="8"/>
        <v>49</v>
      </c>
      <c r="J32" s="158">
        <f t="shared" ca="1" si="8"/>
        <v>40</v>
      </c>
      <c r="K32" s="158">
        <f t="shared" ca="1" si="8"/>
        <v>41</v>
      </c>
      <c r="L32" s="158">
        <f t="shared" ca="1" si="8"/>
        <v>37</v>
      </c>
      <c r="M32" s="158">
        <f t="shared" ca="1" si="8"/>
        <v>40</v>
      </c>
      <c r="N32" s="158">
        <f t="shared" ca="1" si="8"/>
        <v>5</v>
      </c>
    </row>
    <row r="33" spans="1:30" x14ac:dyDescent="0.2">
      <c r="A33" s="155" t="s">
        <v>29</v>
      </c>
      <c r="B33" s="153"/>
      <c r="C33" s="153"/>
      <c r="D33" s="154"/>
      <c r="E33" s="153">
        <f t="shared" ref="E33:N33" ca="1" si="9">IF(E$20&gt;TODAY(), #N/A, SUMIF(INDEX(Burndown,,(E$19-1)*BurndownColumns+StatusColumn), "=Complete",TotalEffort))</f>
        <v>0</v>
      </c>
      <c r="F33" s="153">
        <f t="shared" ca="1" si="9"/>
        <v>4</v>
      </c>
      <c r="G33" s="153">
        <f t="shared" ca="1" si="9"/>
        <v>19</v>
      </c>
      <c r="H33" s="153">
        <f t="shared" ca="1" si="9"/>
        <v>35</v>
      </c>
      <c r="I33" s="153">
        <f t="shared" ca="1" si="9"/>
        <v>45</v>
      </c>
      <c r="J33" s="153">
        <f t="shared" ca="1" si="9"/>
        <v>63</v>
      </c>
      <c r="K33" s="153">
        <f t="shared" ca="1" si="9"/>
        <v>76</v>
      </c>
      <c r="L33" s="153">
        <f t="shared" ca="1" si="9"/>
        <v>93</v>
      </c>
      <c r="M33" s="153">
        <f t="shared" ca="1" si="9"/>
        <v>95</v>
      </c>
      <c r="N33" s="153">
        <f t="shared" ca="1" si="9"/>
        <v>130</v>
      </c>
    </row>
    <row r="34" spans="1:30" x14ac:dyDescent="0.2">
      <c r="A34" s="155"/>
      <c r="B34" s="153"/>
      <c r="C34" s="153"/>
      <c r="D34" s="154"/>
      <c r="E34" s="153"/>
      <c r="F34" s="153"/>
      <c r="G34" s="153"/>
      <c r="H34" s="153"/>
      <c r="I34" s="153"/>
      <c r="J34" s="153"/>
      <c r="K34" s="153"/>
      <c r="L34" s="153"/>
      <c r="M34" s="153"/>
      <c r="N34" s="153"/>
    </row>
    <row r="35" spans="1:30" x14ac:dyDescent="0.2">
      <c r="A35" s="155" t="s">
        <v>10</v>
      </c>
      <c r="B35" s="153"/>
      <c r="C35" s="153"/>
      <c r="D35" s="154"/>
      <c r="E35" s="153">
        <f t="shared" ref="E35:N35" ca="1" si="10">IF(E20&gt;TODAY(), #N/A, COUNTIF(INDEX(Burndown,,(E19-1)*BurndownColumns+StatusColumn), "=Pending"))</f>
        <v>17</v>
      </c>
      <c r="F35" s="153">
        <f t="shared" ca="1" si="10"/>
        <v>17</v>
      </c>
      <c r="G35" s="153">
        <f t="shared" ca="1" si="10"/>
        <v>14</v>
      </c>
      <c r="H35" s="153">
        <f t="shared" ca="1" si="10"/>
        <v>10</v>
      </c>
      <c r="I35" s="153">
        <f t="shared" ca="1" si="10"/>
        <v>9</v>
      </c>
      <c r="J35" s="153">
        <f t="shared" ca="1" si="10"/>
        <v>7</v>
      </c>
      <c r="K35" s="153">
        <f t="shared" ca="1" si="10"/>
        <v>4</v>
      </c>
      <c r="L35" s="153">
        <f t="shared" ca="1" si="10"/>
        <v>2</v>
      </c>
      <c r="M35" s="153">
        <f t="shared" ca="1" si="10"/>
        <v>0</v>
      </c>
      <c r="N35" s="153">
        <f t="shared" ca="1" si="10"/>
        <v>0</v>
      </c>
    </row>
    <row r="36" spans="1:30" x14ac:dyDescent="0.2">
      <c r="A36" s="155" t="s">
        <v>6</v>
      </c>
      <c r="B36" s="153"/>
      <c r="C36" s="153"/>
      <c r="D36" s="154"/>
      <c r="E36" s="153">
        <f t="shared" ref="E36:N36" ca="1" si="11">IF(E20&gt;TODAY(), #N/A, COUNTIF(INDEX(Burndown,,(E19-1)*BurndownColumns+StatusColumn), "=In Progress"))</f>
        <v>7</v>
      </c>
      <c r="F36" s="153">
        <f t="shared" ca="1" si="11"/>
        <v>6</v>
      </c>
      <c r="G36" s="153">
        <f t="shared" ca="1" si="11"/>
        <v>6</v>
      </c>
      <c r="H36" s="153">
        <f t="shared" ca="1" si="11"/>
        <v>7</v>
      </c>
      <c r="I36" s="153">
        <f t="shared" ca="1" si="11"/>
        <v>6</v>
      </c>
      <c r="J36" s="153">
        <f t="shared" ca="1" si="11"/>
        <v>6</v>
      </c>
      <c r="K36" s="153">
        <f t="shared" ca="1" si="11"/>
        <v>7</v>
      </c>
      <c r="L36" s="153">
        <f t="shared" ca="1" si="11"/>
        <v>5</v>
      </c>
      <c r="M36" s="153">
        <f t="shared" ca="1" si="11"/>
        <v>6</v>
      </c>
      <c r="N36" s="153">
        <f t="shared" ca="1" si="11"/>
        <v>0</v>
      </c>
    </row>
    <row r="37" spans="1:30" x14ac:dyDescent="0.2">
      <c r="A37" s="155" t="s">
        <v>7</v>
      </c>
      <c r="B37" s="153"/>
      <c r="C37" s="153"/>
      <c r="D37" s="154"/>
      <c r="E37" s="153">
        <f t="shared" ref="E37:N37" ca="1" si="12">IF(E20&gt;TODAY(), #N/A, COUNTIF(INDEX(Burndown,,(E19-1)*BurndownColumns+StatusColumn), "=Complete"))</f>
        <v>0</v>
      </c>
      <c r="F37" s="153">
        <f t="shared" ca="1" si="12"/>
        <v>1</v>
      </c>
      <c r="G37" s="153">
        <f t="shared" ca="1" si="12"/>
        <v>4</v>
      </c>
      <c r="H37" s="153">
        <f t="shared" ca="1" si="12"/>
        <v>7</v>
      </c>
      <c r="I37" s="153">
        <f t="shared" ca="1" si="12"/>
        <v>9</v>
      </c>
      <c r="J37" s="153">
        <f t="shared" ca="1" si="12"/>
        <v>11</v>
      </c>
      <c r="K37" s="153">
        <f t="shared" ca="1" si="12"/>
        <v>13</v>
      </c>
      <c r="L37" s="153">
        <f t="shared" ca="1" si="12"/>
        <v>17</v>
      </c>
      <c r="M37" s="153">
        <f t="shared" ca="1" si="12"/>
        <v>18</v>
      </c>
      <c r="N37" s="153">
        <f t="shared" ca="1" si="12"/>
        <v>24</v>
      </c>
    </row>
    <row r="38" spans="1:30" x14ac:dyDescent="0.2">
      <c r="A38" s="140"/>
      <c r="B38" s="140"/>
      <c r="C38" s="140"/>
      <c r="D38" s="140"/>
      <c r="E38" s="140"/>
      <c r="F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row>
    <row r="39" spans="1:30" x14ac:dyDescent="0.2">
      <c r="A39" s="155" t="s">
        <v>25</v>
      </c>
      <c r="B39" s="153"/>
      <c r="C39" s="153"/>
      <c r="D39" s="153"/>
      <c r="E39" s="150"/>
      <c r="F39" s="153"/>
      <c r="G39" s="155" t="s">
        <v>24</v>
      </c>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row>
    <row r="40" spans="1:30" ht="13.5" customHeight="1" x14ac:dyDescent="0.2">
      <c r="A40" s="155"/>
      <c r="B40" s="153" t="s">
        <v>26</v>
      </c>
      <c r="C40" s="153"/>
      <c r="D40" s="153"/>
      <c r="E40" s="153">
        <v>1</v>
      </c>
      <c r="F40" s="153"/>
      <c r="G40" s="153" t="s">
        <v>86</v>
      </c>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row>
    <row r="41" spans="1:30" ht="13.5" customHeight="1" x14ac:dyDescent="0.2">
      <c r="A41" s="155"/>
      <c r="B41" s="153" t="s">
        <v>87</v>
      </c>
      <c r="C41" s="153"/>
      <c r="D41" s="153"/>
      <c r="E41" s="153">
        <v>0</v>
      </c>
      <c r="F41" s="153"/>
      <c r="G41" s="153" t="s">
        <v>88</v>
      </c>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row>
    <row r="42" spans="1:30" x14ac:dyDescent="0.2">
      <c r="A42" s="155"/>
      <c r="B42" s="153"/>
      <c r="C42" s="153"/>
      <c r="D42" s="153"/>
      <c r="E42" s="150"/>
      <c r="F42" s="153"/>
      <c r="G42" s="159"/>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row>
    <row r="43" spans="1:30" x14ac:dyDescent="0.2">
      <c r="A43" s="155" t="s">
        <v>17</v>
      </c>
      <c r="B43" s="153"/>
      <c r="C43" s="153"/>
      <c r="D43" s="153"/>
      <c r="E43" s="150"/>
      <c r="F43" s="153"/>
      <c r="G43" s="153"/>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row>
    <row r="44" spans="1:30" x14ac:dyDescent="0.2">
      <c r="A44" s="153"/>
      <c r="B44" s="153" t="s">
        <v>15</v>
      </c>
      <c r="C44" s="153"/>
      <c r="D44" s="153"/>
      <c r="E44" s="153">
        <v>3</v>
      </c>
      <c r="F44" s="153"/>
      <c r="G44" s="153"/>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row>
    <row r="45" spans="1:30" x14ac:dyDescent="0.2">
      <c r="A45" s="153"/>
      <c r="B45" s="153" t="s">
        <v>19</v>
      </c>
      <c r="C45" s="153"/>
      <c r="D45" s="153"/>
      <c r="E45" s="153">
        <v>1</v>
      </c>
      <c r="F45" s="153"/>
      <c r="G45" s="159"/>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row>
    <row r="46" spans="1:30" x14ac:dyDescent="0.2">
      <c r="A46" s="153"/>
      <c r="B46" s="153" t="s">
        <v>18</v>
      </c>
      <c r="C46" s="153"/>
      <c r="D46" s="153"/>
      <c r="E46" s="153">
        <v>2</v>
      </c>
      <c r="F46" s="159"/>
      <c r="G46" s="159"/>
    </row>
    <row r="47" spans="1:30" x14ac:dyDescent="0.2">
      <c r="A47" s="153"/>
      <c r="B47" s="153" t="s">
        <v>16</v>
      </c>
      <c r="C47" s="153"/>
      <c r="D47" s="153"/>
      <c r="E47" s="153">
        <v>3</v>
      </c>
      <c r="F47" s="159"/>
      <c r="G47" s="159"/>
    </row>
    <row r="48" spans="1:30" x14ac:dyDescent="0.2">
      <c r="A48" s="140"/>
      <c r="C48" s="140"/>
      <c r="D48" s="140"/>
    </row>
    <row r="49" spans="1:1" x14ac:dyDescent="0.2">
      <c r="A49" s="141"/>
    </row>
    <row r="50" spans="1:1" x14ac:dyDescent="0.2">
      <c r="A50" s="140"/>
    </row>
    <row r="51" spans="1:1" x14ac:dyDescent="0.2">
      <c r="A51" s="140"/>
    </row>
  </sheetData>
  <phoneticPr fontId="2" type="noConversion"/>
  <conditionalFormatting sqref="D19:N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34"/>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C20" sqref="C20"/>
    </sheetView>
  </sheetViews>
  <sheetFormatPr defaultRowHeight="12.75" x14ac:dyDescent="0.2"/>
  <cols>
    <col min="1" max="1" width="2.28515625" style="42" customWidth="1"/>
    <col min="2" max="2" width="23.42578125" style="43" customWidth="1"/>
    <col min="3" max="4" width="6.5703125" style="43" bestFit="1" customWidth="1"/>
    <col min="5" max="5" width="24.5703125" style="42" customWidth="1"/>
    <col min="6" max="6" width="13.7109375" style="42" customWidth="1"/>
    <col min="7" max="7" width="12.7109375" style="42" bestFit="1" customWidth="1"/>
    <col min="8" max="8" width="1.85546875" style="42" customWidth="1"/>
    <col min="9" max="9" width="6.85546875" style="42" bestFit="1" customWidth="1"/>
    <col min="10" max="10" width="3.140625" style="42" customWidth="1"/>
    <col min="11" max="15" width="3.7109375" style="42" customWidth="1"/>
    <col min="16" max="16" width="6.85546875" style="42" bestFit="1" customWidth="1"/>
    <col min="17" max="22" width="3.7109375" style="42" customWidth="1"/>
    <col min="23" max="23" width="4" style="42" customWidth="1"/>
    <col min="24" max="28" width="3" style="42" customWidth="1"/>
    <col min="29" max="38" width="9.140625" style="42"/>
    <col min="39" max="16384" width="9.140625" style="6"/>
  </cols>
  <sheetData>
    <row r="1" spans="2:28" ht="13.5" thickBot="1" x14ac:dyDescent="0.25"/>
    <row r="2" spans="2:28" x14ac:dyDescent="0.2">
      <c r="B2" s="44" t="s">
        <v>44</v>
      </c>
      <c r="C2" s="45"/>
      <c r="D2" s="46" t="str">
        <f ca="1">TEXT(E2,"ddd")</f>
        <v>ddd</v>
      </c>
      <c r="E2" s="47">
        <f ca="1">TODAY()</f>
        <v>42728</v>
      </c>
    </row>
    <row r="3" spans="2:28" ht="13.5" thickBot="1" x14ac:dyDescent="0.25">
      <c r="B3" s="48" t="s">
        <v>43</v>
      </c>
      <c r="C3" s="49"/>
      <c r="D3" s="50" t="str">
        <f>TEXT(E3,"ddd")</f>
        <v>ddd</v>
      </c>
      <c r="E3" s="51">
        <v>42683</v>
      </c>
    </row>
    <row r="4" spans="2:28" ht="13.5" thickBot="1" x14ac:dyDescent="0.25">
      <c r="D4" s="42"/>
      <c r="E4" s="52"/>
      <c r="I4" s="53"/>
      <c r="J4" s="53"/>
      <c r="K4" s="53"/>
      <c r="L4" s="53"/>
      <c r="M4" s="53"/>
      <c r="N4" s="53"/>
      <c r="O4" s="53"/>
      <c r="P4" s="53"/>
      <c r="Q4" s="53"/>
      <c r="R4" s="53"/>
      <c r="S4" s="53"/>
      <c r="T4" s="53"/>
      <c r="U4" s="53"/>
      <c r="V4" s="53"/>
    </row>
    <row r="5" spans="2:28" ht="15.75" thickBot="1" x14ac:dyDescent="0.25">
      <c r="B5" s="198" t="s">
        <v>47</v>
      </c>
      <c r="C5" s="199"/>
      <c r="D5" s="199"/>
      <c r="E5" s="199"/>
      <c r="F5" s="199"/>
      <c r="G5" s="200"/>
      <c r="I5" s="54"/>
      <c r="J5" s="55"/>
      <c r="K5" s="55"/>
      <c r="L5" s="55"/>
      <c r="M5" s="55"/>
      <c r="N5" s="55"/>
      <c r="O5" s="55"/>
      <c r="P5" s="55"/>
      <c r="Q5" s="55"/>
      <c r="R5" s="55"/>
      <c r="S5" s="55"/>
      <c r="T5" s="55"/>
      <c r="U5" s="55"/>
      <c r="V5" s="55"/>
      <c r="W5" s="57"/>
      <c r="X5" s="56"/>
      <c r="Y5" s="56"/>
      <c r="Z5" s="56"/>
      <c r="AA5" s="56"/>
      <c r="AB5" s="58"/>
    </row>
    <row r="6" spans="2:28" ht="13.5" thickBot="1" x14ac:dyDescent="0.25">
      <c r="B6" s="59" t="s">
        <v>54</v>
      </c>
      <c r="C6" s="60">
        <v>2</v>
      </c>
      <c r="D6" s="61"/>
      <c r="E6" s="62" t="s">
        <v>55</v>
      </c>
      <c r="F6" s="63">
        <v>10</v>
      </c>
      <c r="G6" s="64"/>
      <c r="I6" s="65" t="str">
        <f>IF(D3="Mon",E3-0,IF(D3="Tue",E3-1,IF(D3="Wed",E3-2,IF(D3="Thu",E3-3,IF(D3="Fri",E3-4,IF(D3="Sat",E3-5,IF(D3="Sun",E3-6,"False")))))))</f>
        <v>False</v>
      </c>
      <c r="J6" s="66" t="e">
        <f t="shared" ref="J6:O6" si="0">I6+1</f>
        <v>#VALUE!</v>
      </c>
      <c r="K6" s="66" t="e">
        <f t="shared" si="0"/>
        <v>#VALUE!</v>
      </c>
      <c r="L6" s="66" t="e">
        <f t="shared" si="0"/>
        <v>#VALUE!</v>
      </c>
      <c r="M6" s="66" t="e">
        <f t="shared" si="0"/>
        <v>#VALUE!</v>
      </c>
      <c r="N6" s="67" t="e">
        <f t="shared" si="0"/>
        <v>#VALUE!</v>
      </c>
      <c r="O6" s="67" t="e">
        <f t="shared" si="0"/>
        <v>#VALUE!</v>
      </c>
      <c r="P6" s="68" t="e">
        <f>I6+7</f>
        <v>#VALUE!</v>
      </c>
      <c r="Q6" s="66" t="e">
        <f t="shared" ref="Q6:V6" si="1">P6+1</f>
        <v>#VALUE!</v>
      </c>
      <c r="R6" s="66" t="e">
        <f t="shared" si="1"/>
        <v>#VALUE!</v>
      </c>
      <c r="S6" s="66" t="e">
        <f t="shared" si="1"/>
        <v>#VALUE!</v>
      </c>
      <c r="T6" s="66" t="e">
        <f t="shared" si="1"/>
        <v>#VALUE!</v>
      </c>
      <c r="U6" s="67" t="e">
        <f t="shared" si="1"/>
        <v>#VALUE!</v>
      </c>
      <c r="V6" s="67" t="e">
        <f t="shared" si="1"/>
        <v>#VALUE!</v>
      </c>
      <c r="W6" s="201"/>
      <c r="X6" s="202"/>
      <c r="Y6" s="202"/>
      <c r="Z6" s="202"/>
      <c r="AA6" s="202"/>
      <c r="AB6" s="203"/>
    </row>
    <row r="7" spans="2:28" ht="29.25" customHeight="1" thickBot="1" x14ac:dyDescent="0.25">
      <c r="B7" s="69"/>
      <c r="C7" s="70"/>
      <c r="D7" s="61"/>
      <c r="E7" s="71" t="s">
        <v>45</v>
      </c>
      <c r="F7" s="71" t="s">
        <v>52</v>
      </c>
      <c r="G7" s="72" t="s">
        <v>46</v>
      </c>
      <c r="I7" s="73" t="s">
        <v>32</v>
      </c>
      <c r="J7" s="74" t="s">
        <v>34</v>
      </c>
      <c r="K7" s="74" t="s">
        <v>35</v>
      </c>
      <c r="L7" s="74" t="s">
        <v>34</v>
      </c>
      <c r="M7" s="74" t="s">
        <v>36</v>
      </c>
      <c r="N7" s="75" t="s">
        <v>33</v>
      </c>
      <c r="O7" s="76" t="s">
        <v>33</v>
      </c>
      <c r="P7" s="73" t="s">
        <v>32</v>
      </c>
      <c r="Q7" s="74" t="s">
        <v>34</v>
      </c>
      <c r="R7" s="74" t="s">
        <v>35</v>
      </c>
      <c r="S7" s="74" t="s">
        <v>34</v>
      </c>
      <c r="T7" s="74" t="s">
        <v>36</v>
      </c>
      <c r="U7" s="75" t="s">
        <v>33</v>
      </c>
      <c r="V7" s="76" t="s">
        <v>33</v>
      </c>
      <c r="W7" s="204" t="s">
        <v>42</v>
      </c>
      <c r="X7" s="205"/>
      <c r="Y7" s="205"/>
      <c r="Z7" s="205"/>
      <c r="AA7" s="205"/>
      <c r="AB7" s="206"/>
    </row>
    <row r="8" spans="2:28" ht="13.5" thickBot="1" x14ac:dyDescent="0.25">
      <c r="B8" s="77" t="s">
        <v>37</v>
      </c>
      <c r="C8" s="78">
        <f>SUM(G8:G14)</f>
        <v>135</v>
      </c>
      <c r="D8" s="79"/>
      <c r="E8" s="80" t="s">
        <v>139</v>
      </c>
      <c r="F8" s="81">
        <v>1</v>
      </c>
      <c r="G8" s="82">
        <v>20</v>
      </c>
      <c r="H8" s="83"/>
      <c r="I8" s="89">
        <f t="shared" ref="I8:I14" ca="1" si="2">IF(I$6&lt;$E$3,0,IF(ISBLANK($E8),0,IF(I$6&lt;$E$2,0,1)))</f>
        <v>1</v>
      </c>
      <c r="J8" s="89">
        <v>1</v>
      </c>
      <c r="K8" s="89">
        <v>1</v>
      </c>
      <c r="L8" s="89">
        <v>1</v>
      </c>
      <c r="M8" s="89">
        <v>1</v>
      </c>
      <c r="N8" s="84"/>
      <c r="O8" s="85"/>
      <c r="P8" s="89">
        <v>1</v>
      </c>
      <c r="Q8" s="90">
        <v>1</v>
      </c>
      <c r="R8" s="90">
        <v>1</v>
      </c>
      <c r="S8" s="90">
        <v>1</v>
      </c>
      <c r="T8" s="90">
        <v>1</v>
      </c>
      <c r="U8" s="84"/>
      <c r="V8" s="85"/>
      <c r="W8" s="195">
        <f t="shared" ref="W8:W14" ca="1" si="3">IF(E8="unassigned",0,(COUNTIF(I8:V8,1)*$C$6)*F8)</f>
        <v>20</v>
      </c>
      <c r="X8" s="196"/>
      <c r="Y8" s="196"/>
      <c r="Z8" s="196"/>
      <c r="AA8" s="196"/>
      <c r="AB8" s="197"/>
    </row>
    <row r="9" spans="2:28" ht="13.5" thickBot="1" x14ac:dyDescent="0.25">
      <c r="B9" s="86" t="s">
        <v>38</v>
      </c>
      <c r="C9" s="78">
        <f ca="1">SUM(W8:AB14)</f>
        <v>135</v>
      </c>
      <c r="D9" s="87"/>
      <c r="E9" s="18" t="s">
        <v>141</v>
      </c>
      <c r="F9" s="88">
        <v>1</v>
      </c>
      <c r="G9" s="82">
        <v>20</v>
      </c>
      <c r="H9" s="83"/>
      <c r="I9" s="89">
        <f t="shared" ca="1" si="2"/>
        <v>1</v>
      </c>
      <c r="J9" s="89">
        <v>1</v>
      </c>
      <c r="K9" s="89">
        <v>1</v>
      </c>
      <c r="L9" s="89">
        <v>1</v>
      </c>
      <c r="M9" s="89">
        <v>1</v>
      </c>
      <c r="N9" s="91"/>
      <c r="O9" s="92"/>
      <c r="P9" s="89">
        <v>1</v>
      </c>
      <c r="Q9" s="90">
        <v>1</v>
      </c>
      <c r="R9" s="90">
        <v>1</v>
      </c>
      <c r="S9" s="90">
        <v>1</v>
      </c>
      <c r="T9" s="90">
        <v>1</v>
      </c>
      <c r="U9" s="91"/>
      <c r="V9" s="92"/>
      <c r="W9" s="195">
        <f t="shared" ca="1" si="3"/>
        <v>20</v>
      </c>
      <c r="X9" s="196"/>
      <c r="Y9" s="196"/>
      <c r="Z9" s="196"/>
      <c r="AA9" s="196"/>
      <c r="AB9" s="197"/>
    </row>
    <row r="10" spans="2:28" ht="13.5" thickBot="1" x14ac:dyDescent="0.25">
      <c r="B10" s="93" t="s">
        <v>39</v>
      </c>
      <c r="C10" s="94">
        <f ca="1">C8-C9</f>
        <v>0</v>
      </c>
      <c r="D10" s="61"/>
      <c r="E10" s="18" t="s">
        <v>143</v>
      </c>
      <c r="F10" s="88">
        <v>1</v>
      </c>
      <c r="G10" s="82">
        <v>20</v>
      </c>
      <c r="H10" s="83"/>
      <c r="I10" s="89">
        <f t="shared" ca="1" si="2"/>
        <v>1</v>
      </c>
      <c r="J10" s="89">
        <v>1</v>
      </c>
      <c r="K10" s="89">
        <v>1</v>
      </c>
      <c r="L10" s="89">
        <v>1</v>
      </c>
      <c r="M10" s="89">
        <v>1</v>
      </c>
      <c r="N10" s="91"/>
      <c r="O10" s="92"/>
      <c r="P10" s="89">
        <v>1</v>
      </c>
      <c r="Q10" s="90">
        <v>1</v>
      </c>
      <c r="R10" s="90">
        <v>1</v>
      </c>
      <c r="S10" s="90">
        <v>1</v>
      </c>
      <c r="T10" s="90">
        <v>1</v>
      </c>
      <c r="U10" s="91"/>
      <c r="V10" s="92"/>
      <c r="W10" s="195">
        <f t="shared" ca="1" si="3"/>
        <v>20</v>
      </c>
      <c r="X10" s="196"/>
      <c r="Y10" s="196"/>
      <c r="Z10" s="196"/>
      <c r="AA10" s="196"/>
      <c r="AB10" s="197"/>
    </row>
    <row r="11" spans="2:28" ht="13.5" thickBot="1" x14ac:dyDescent="0.25">
      <c r="B11" s="95"/>
      <c r="D11" s="96"/>
      <c r="E11" s="18" t="s">
        <v>145</v>
      </c>
      <c r="F11" s="88">
        <v>0.9</v>
      </c>
      <c r="G11" s="82">
        <v>18</v>
      </c>
      <c r="H11" s="83"/>
      <c r="I11" s="89">
        <f t="shared" ca="1" si="2"/>
        <v>1</v>
      </c>
      <c r="J11" s="89">
        <v>1</v>
      </c>
      <c r="K11" s="89">
        <v>1</v>
      </c>
      <c r="L11" s="89">
        <v>1</v>
      </c>
      <c r="M11" s="89">
        <v>1</v>
      </c>
      <c r="N11" s="91"/>
      <c r="O11" s="92"/>
      <c r="P11" s="89">
        <v>1</v>
      </c>
      <c r="Q11" s="90">
        <v>1</v>
      </c>
      <c r="R11" s="90">
        <v>1</v>
      </c>
      <c r="S11" s="90">
        <v>1</v>
      </c>
      <c r="T11" s="90">
        <v>1</v>
      </c>
      <c r="U11" s="91"/>
      <c r="V11" s="92"/>
      <c r="W11" s="195">
        <f t="shared" ca="1" si="3"/>
        <v>18</v>
      </c>
      <c r="X11" s="196"/>
      <c r="Y11" s="196"/>
      <c r="Z11" s="196"/>
      <c r="AA11" s="196"/>
      <c r="AB11" s="197"/>
    </row>
    <row r="12" spans="2:28" ht="13.5" thickBot="1" x14ac:dyDescent="0.25">
      <c r="B12" s="95"/>
      <c r="D12" s="96"/>
      <c r="E12" s="18" t="s">
        <v>135</v>
      </c>
      <c r="F12" s="88">
        <v>0.85</v>
      </c>
      <c r="G12" s="82">
        <v>17</v>
      </c>
      <c r="H12" s="83"/>
      <c r="I12" s="89">
        <f t="shared" ca="1" si="2"/>
        <v>1</v>
      </c>
      <c r="J12" s="89">
        <v>1</v>
      </c>
      <c r="K12" s="89">
        <v>1</v>
      </c>
      <c r="L12" s="89">
        <v>1</v>
      </c>
      <c r="M12" s="89">
        <v>1</v>
      </c>
      <c r="N12" s="91"/>
      <c r="O12" s="92"/>
      <c r="P12" s="89">
        <v>1</v>
      </c>
      <c r="Q12" s="90">
        <v>1</v>
      </c>
      <c r="R12" s="90">
        <v>1</v>
      </c>
      <c r="S12" s="90">
        <v>1</v>
      </c>
      <c r="T12" s="90">
        <v>1</v>
      </c>
      <c r="U12" s="91"/>
      <c r="V12" s="92"/>
      <c r="W12" s="195">
        <f t="shared" ca="1" si="3"/>
        <v>17</v>
      </c>
      <c r="X12" s="196"/>
      <c r="Y12" s="196"/>
      <c r="Z12" s="196"/>
      <c r="AA12" s="196"/>
      <c r="AB12" s="197"/>
    </row>
    <row r="13" spans="2:28" ht="13.5" thickBot="1" x14ac:dyDescent="0.25">
      <c r="B13" s="95"/>
      <c r="D13" s="97"/>
      <c r="E13" s="18" t="s">
        <v>137</v>
      </c>
      <c r="F13" s="88">
        <v>1</v>
      </c>
      <c r="G13" s="82">
        <v>20</v>
      </c>
      <c r="H13" s="83"/>
      <c r="I13" s="89">
        <f t="shared" ca="1" si="2"/>
        <v>1</v>
      </c>
      <c r="J13" s="89">
        <v>1</v>
      </c>
      <c r="K13" s="89">
        <v>1</v>
      </c>
      <c r="L13" s="89">
        <v>1</v>
      </c>
      <c r="M13" s="89">
        <v>1</v>
      </c>
      <c r="N13" s="91"/>
      <c r="O13" s="92"/>
      <c r="P13" s="89">
        <v>1</v>
      </c>
      <c r="Q13" s="90">
        <v>1</v>
      </c>
      <c r="R13" s="90">
        <v>1</v>
      </c>
      <c r="S13" s="90">
        <v>1</v>
      </c>
      <c r="T13" s="90">
        <v>1</v>
      </c>
      <c r="U13" s="91"/>
      <c r="V13" s="92"/>
      <c r="W13" s="195">
        <f t="shared" ca="1" si="3"/>
        <v>20</v>
      </c>
      <c r="X13" s="196"/>
      <c r="Y13" s="196"/>
      <c r="Z13" s="196"/>
      <c r="AA13" s="196"/>
      <c r="AB13" s="197"/>
    </row>
    <row r="14" spans="2:28" ht="13.5" thickBot="1" x14ac:dyDescent="0.25">
      <c r="B14" s="95"/>
      <c r="D14" s="61"/>
      <c r="E14" s="18" t="s">
        <v>149</v>
      </c>
      <c r="F14" s="88">
        <v>1</v>
      </c>
      <c r="G14" s="82">
        <v>20</v>
      </c>
      <c r="H14" s="83"/>
      <c r="I14" s="89">
        <f t="shared" ca="1" si="2"/>
        <v>1</v>
      </c>
      <c r="J14" s="89">
        <v>1</v>
      </c>
      <c r="K14" s="89">
        <v>1</v>
      </c>
      <c r="L14" s="89">
        <v>1</v>
      </c>
      <c r="M14" s="89">
        <v>1</v>
      </c>
      <c r="N14" s="91"/>
      <c r="O14" s="92"/>
      <c r="P14" s="89">
        <v>1</v>
      </c>
      <c r="Q14" s="90">
        <v>1</v>
      </c>
      <c r="R14" s="90">
        <v>1</v>
      </c>
      <c r="S14" s="90">
        <v>1</v>
      </c>
      <c r="T14" s="90">
        <v>1</v>
      </c>
      <c r="U14" s="91"/>
      <c r="V14" s="92"/>
      <c r="W14" s="195">
        <f t="shared" ca="1" si="3"/>
        <v>20</v>
      </c>
      <c r="X14" s="196"/>
      <c r="Y14" s="196"/>
      <c r="Z14" s="196"/>
      <c r="AA14" s="196"/>
      <c r="AB14" s="197"/>
    </row>
    <row r="15" spans="2:28" x14ac:dyDescent="0.2">
      <c r="B15" s="95"/>
      <c r="D15" s="97"/>
      <c r="E15" s="99"/>
      <c r="F15" s="98"/>
      <c r="G15" s="100"/>
      <c r="I15" s="101"/>
      <c r="J15" s="102"/>
      <c r="K15" s="102"/>
      <c r="L15" s="102"/>
      <c r="M15" s="102"/>
      <c r="N15" s="103"/>
      <c r="O15" s="103"/>
      <c r="P15" s="102"/>
      <c r="Q15" s="102"/>
      <c r="R15" s="102"/>
      <c r="S15" s="102"/>
      <c r="T15" s="102"/>
      <c r="U15" s="103"/>
      <c r="V15" s="103"/>
      <c r="W15" s="104"/>
      <c r="X15" s="104"/>
      <c r="Y15" s="104"/>
      <c r="Z15" s="104"/>
      <c r="AA15" s="104"/>
      <c r="AB15" s="105"/>
    </row>
    <row r="16" spans="2:28" ht="13.5" thickBot="1" x14ac:dyDescent="0.25">
      <c r="B16" s="106"/>
      <c r="C16" s="107"/>
      <c r="D16" s="107"/>
      <c r="E16" s="108"/>
      <c r="F16" s="108"/>
      <c r="G16" s="109"/>
      <c r="I16" s="110"/>
      <c r="J16" s="108"/>
      <c r="K16" s="108"/>
      <c r="L16" s="108"/>
      <c r="M16" s="111"/>
      <c r="N16" s="111"/>
      <c r="O16" s="111"/>
      <c r="P16" s="111"/>
      <c r="Q16" s="111"/>
      <c r="R16" s="108"/>
      <c r="S16" s="108"/>
      <c r="T16" s="111"/>
      <c r="U16" s="111"/>
      <c r="V16" s="111"/>
      <c r="W16" s="108"/>
      <c r="X16" s="108"/>
      <c r="Y16" s="108"/>
      <c r="Z16" s="108"/>
      <c r="AA16" s="108"/>
      <c r="AB16" s="109"/>
    </row>
    <row r="18" spans="2:22" x14ac:dyDescent="0.2">
      <c r="I18" s="112" t="s">
        <v>50</v>
      </c>
      <c r="J18" s="42" t="s">
        <v>40</v>
      </c>
      <c r="K18" s="42" t="s">
        <v>51</v>
      </c>
      <c r="Q18" s="112" t="s">
        <v>49</v>
      </c>
      <c r="R18" s="42" t="s">
        <v>40</v>
      </c>
      <c r="S18" s="42" t="s">
        <v>53</v>
      </c>
    </row>
    <row r="19" spans="2:22" x14ac:dyDescent="0.2">
      <c r="C19" s="113"/>
      <c r="D19" s="113"/>
    </row>
    <row r="20" spans="2:22" x14ac:dyDescent="0.2">
      <c r="B20" s="97"/>
      <c r="C20" s="113"/>
      <c r="D20" s="113"/>
      <c r="E20" s="114"/>
      <c r="J20" s="6"/>
    </row>
    <row r="21" spans="2:22" x14ac:dyDescent="0.2">
      <c r="C21" s="113"/>
      <c r="D21" s="113"/>
      <c r="E21" s="114"/>
      <c r="F21" s="52"/>
    </row>
    <row r="26" spans="2:22" x14ac:dyDescent="0.2">
      <c r="I26" s="115"/>
    </row>
    <row r="27" spans="2:22" x14ac:dyDescent="0.2">
      <c r="J27" s="116"/>
      <c r="K27" s="117"/>
      <c r="L27" s="117"/>
      <c r="M27" s="117"/>
      <c r="N27" s="117"/>
      <c r="O27" s="117"/>
      <c r="Q27" s="116"/>
      <c r="R27" s="117"/>
      <c r="S27" s="117"/>
      <c r="T27" s="117"/>
      <c r="U27" s="117"/>
      <c r="V27" s="117"/>
    </row>
    <row r="29" spans="2:22" x14ac:dyDescent="0.2">
      <c r="E29" s="6"/>
    </row>
    <row r="34" spans="2:5" x14ac:dyDescent="0.2">
      <c r="B34" s="118"/>
      <c r="E34" s="115"/>
    </row>
  </sheetData>
  <mergeCells count="10">
    <mergeCell ref="W13:AB13"/>
    <mergeCell ref="W14:AB14"/>
    <mergeCell ref="B5:G5"/>
    <mergeCell ref="W6:AB6"/>
    <mergeCell ref="W12:AB12"/>
    <mergeCell ref="W11:AB11"/>
    <mergeCell ref="W7:AB7"/>
    <mergeCell ref="W8:AB8"/>
    <mergeCell ref="W9:AB9"/>
    <mergeCell ref="W10:AB10"/>
  </mergeCells>
  <phoneticPr fontId="0" type="noConversion"/>
  <conditionalFormatting sqref="G8:G14">
    <cfRule type="expression" dxfId="24" priority="2" stopIfTrue="1">
      <formula>G8&gt;W8</formula>
    </cfRule>
  </conditionalFormatting>
  <conditionalFormatting sqref="I8:M14 P8:T14">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19:X23 X15:X17 J21:J23 J15:J19 I15:I23 Q18 T15:W23 N8:O14 K15:O23 U8:V14 P19:S23 P15:S17">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8:F16">
    <cfRule type="expression" dxfId="11" priority="1" stopIfTrue="1">
      <formula>H8&gt;X8</formula>
    </cfRule>
  </conditionalFormatting>
  <conditionalFormatting sqref="F19:F22">
    <cfRule type="expression" dxfId="10" priority="4" stopIfTrue="1">
      <formula>H17&gt;X17</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D14 D6:D12 C6:C9">
    <cfRule type="cellIs" dxfId="7" priority="10" stopIfTrue="1" operator="equal">
      <formula>"3A"</formula>
    </cfRule>
    <cfRule type="cellIs" dxfId="6" priority="11" stopIfTrue="1" operator="equal">
      <formula>"3B"</formula>
    </cfRule>
  </conditionalFormatting>
  <conditionalFormatting sqref="G21:G23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19 E8:E14">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22"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I51"/>
  <sheetViews>
    <sheetView workbookViewId="0">
      <selection activeCell="L20" sqref="L20"/>
    </sheetView>
  </sheetViews>
  <sheetFormatPr defaultRowHeight="12.75" x14ac:dyDescent="0.2"/>
  <cols>
    <col min="1" max="1" width="2.7109375" style="42" customWidth="1"/>
    <col min="2" max="2" width="18.42578125" style="42" bestFit="1" customWidth="1"/>
    <col min="3" max="4" width="14.140625" style="42" bestFit="1" customWidth="1"/>
    <col min="5" max="6" width="15.140625" style="42" bestFit="1" customWidth="1"/>
    <col min="7" max="7" width="13.7109375" style="42" customWidth="1"/>
    <col min="8" max="8" width="28.7109375" style="42" customWidth="1"/>
    <col min="9" max="9" width="2.85546875" style="42" bestFit="1" customWidth="1"/>
    <col min="10" max="16384" width="9.140625" style="42"/>
  </cols>
  <sheetData>
    <row r="4" spans="2:8" x14ac:dyDescent="0.2">
      <c r="B4" s="119" t="s">
        <v>56</v>
      </c>
    </row>
    <row r="5" spans="2:8" ht="13.5" thickBot="1" x14ac:dyDescent="0.25"/>
    <row r="6" spans="2:8" ht="14.25" thickTop="1" thickBot="1" x14ac:dyDescent="0.25">
      <c r="B6" s="119" t="s">
        <v>41</v>
      </c>
      <c r="C6" s="120" t="s">
        <v>97</v>
      </c>
      <c r="D6" s="121" t="s">
        <v>90</v>
      </c>
      <c r="E6" s="122" t="s">
        <v>96</v>
      </c>
      <c r="F6" s="123" t="s">
        <v>95</v>
      </c>
      <c r="G6" s="123" t="s">
        <v>99</v>
      </c>
      <c r="H6" s="124" t="s">
        <v>98</v>
      </c>
    </row>
    <row r="7" spans="2:8" ht="13.5" thickTop="1" x14ac:dyDescent="0.2">
      <c r="C7" s="125"/>
      <c r="D7" s="126" t="s">
        <v>48</v>
      </c>
      <c r="E7" s="127"/>
      <c r="F7" s="128"/>
      <c r="G7" s="128"/>
      <c r="H7" s="129"/>
    </row>
    <row r="8" spans="2:8" ht="15" x14ac:dyDescent="0.25">
      <c r="C8" s="130" t="s">
        <v>138</v>
      </c>
      <c r="D8" s="174" t="s">
        <v>139</v>
      </c>
      <c r="E8" s="131" t="s">
        <v>93</v>
      </c>
      <c r="F8" s="132" t="s">
        <v>94</v>
      </c>
      <c r="G8" s="131" t="s">
        <v>100</v>
      </c>
      <c r="H8" s="131" t="s">
        <v>91</v>
      </c>
    </row>
    <row r="9" spans="2:8" ht="15" x14ac:dyDescent="0.25">
      <c r="C9" s="130" t="s">
        <v>140</v>
      </c>
      <c r="D9" s="174" t="s">
        <v>141</v>
      </c>
      <c r="E9" s="131" t="s">
        <v>93</v>
      </c>
      <c r="F9" s="132" t="s">
        <v>94</v>
      </c>
      <c r="G9" s="131" t="s">
        <v>100</v>
      </c>
      <c r="H9" s="131" t="s">
        <v>91</v>
      </c>
    </row>
    <row r="10" spans="2:8" ht="11.25" customHeight="1" x14ac:dyDescent="0.2">
      <c r="C10" s="130" t="s">
        <v>142</v>
      </c>
      <c r="D10" s="175" t="s">
        <v>143</v>
      </c>
      <c r="E10" s="131" t="s">
        <v>93</v>
      </c>
      <c r="F10" s="132" t="s">
        <v>94</v>
      </c>
      <c r="G10" s="131" t="s">
        <v>100</v>
      </c>
      <c r="H10" s="131" t="s">
        <v>91</v>
      </c>
    </row>
    <row r="11" spans="2:8" x14ac:dyDescent="0.2">
      <c r="C11" s="130" t="s">
        <v>144</v>
      </c>
      <c r="D11" s="176" t="s">
        <v>145</v>
      </c>
      <c r="E11" s="131" t="s">
        <v>93</v>
      </c>
      <c r="F11" s="132" t="s">
        <v>94</v>
      </c>
      <c r="G11" s="131" t="s">
        <v>100</v>
      </c>
      <c r="H11" s="131" t="s">
        <v>91</v>
      </c>
    </row>
    <row r="12" spans="2:8" x14ac:dyDescent="0.2">
      <c r="C12" s="130" t="s">
        <v>146</v>
      </c>
      <c r="D12" s="176" t="s">
        <v>135</v>
      </c>
      <c r="E12" s="131" t="s">
        <v>93</v>
      </c>
      <c r="F12" s="132" t="s">
        <v>94</v>
      </c>
      <c r="G12" s="131" t="s">
        <v>100</v>
      </c>
      <c r="H12" s="131" t="s">
        <v>91</v>
      </c>
    </row>
    <row r="13" spans="2:8" x14ac:dyDescent="0.2">
      <c r="C13" s="130" t="s">
        <v>147</v>
      </c>
      <c r="D13" s="175" t="s">
        <v>137</v>
      </c>
      <c r="E13" s="131" t="s">
        <v>93</v>
      </c>
      <c r="F13" s="132" t="s">
        <v>94</v>
      </c>
      <c r="G13" s="131" t="s">
        <v>100</v>
      </c>
      <c r="H13" s="131" t="s">
        <v>91</v>
      </c>
    </row>
    <row r="14" spans="2:8" x14ac:dyDescent="0.2">
      <c r="C14" s="130" t="s">
        <v>148</v>
      </c>
      <c r="D14" s="175" t="s">
        <v>149</v>
      </c>
      <c r="E14" s="131" t="s">
        <v>93</v>
      </c>
      <c r="F14" s="132" t="s">
        <v>94</v>
      </c>
      <c r="G14" s="131" t="s">
        <v>100</v>
      </c>
      <c r="H14" s="131" t="s">
        <v>91</v>
      </c>
    </row>
    <row r="15" spans="2:8" x14ac:dyDescent="0.2">
      <c r="C15" s="130"/>
      <c r="D15" s="131"/>
      <c r="E15" s="131"/>
      <c r="F15" s="132"/>
      <c r="G15" s="131"/>
      <c r="H15" s="131"/>
    </row>
    <row r="16" spans="2:8" x14ac:dyDescent="0.2">
      <c r="C16" s="130"/>
      <c r="D16" s="131"/>
      <c r="E16" s="131"/>
      <c r="F16" s="132"/>
      <c r="G16" s="131"/>
      <c r="H16" s="131"/>
    </row>
    <row r="17" spans="3:8" x14ac:dyDescent="0.2">
      <c r="C17" s="130"/>
      <c r="D17" s="131"/>
      <c r="E17" s="131"/>
      <c r="F17" s="132"/>
      <c r="G17" s="131"/>
      <c r="H17" s="131"/>
    </row>
    <row r="18" spans="3:8" x14ac:dyDescent="0.2">
      <c r="C18" s="130"/>
      <c r="D18" s="131"/>
      <c r="E18" s="131"/>
      <c r="F18" s="132"/>
      <c r="G18" s="131"/>
      <c r="H18" s="131"/>
    </row>
    <row r="19" spans="3:8" x14ac:dyDescent="0.2">
      <c r="C19" s="130"/>
      <c r="D19" s="131"/>
      <c r="E19" s="131"/>
      <c r="F19" s="132"/>
      <c r="G19" s="131"/>
      <c r="H19" s="131"/>
    </row>
    <row r="20" spans="3:8" x14ac:dyDescent="0.2">
      <c r="C20" s="130"/>
      <c r="D20" s="131"/>
      <c r="E20" s="131"/>
      <c r="F20" s="132"/>
      <c r="G20" s="131"/>
      <c r="H20" s="131"/>
    </row>
    <row r="21" spans="3:8" x14ac:dyDescent="0.2">
      <c r="C21" s="130"/>
      <c r="D21" s="131"/>
      <c r="E21" s="131"/>
      <c r="F21" s="132"/>
      <c r="G21" s="131"/>
      <c r="H21" s="131"/>
    </row>
    <row r="22" spans="3:8" x14ac:dyDescent="0.2">
      <c r="C22" s="130"/>
      <c r="D22" s="131"/>
      <c r="E22" s="131"/>
      <c r="F22" s="132"/>
      <c r="G22" s="131"/>
      <c r="H22" s="131"/>
    </row>
    <row r="23" spans="3:8" x14ac:dyDescent="0.2">
      <c r="C23" s="130"/>
      <c r="D23" s="131"/>
      <c r="E23" s="131"/>
      <c r="F23" s="132"/>
      <c r="G23" s="131"/>
      <c r="H23" s="131"/>
    </row>
    <row r="24" spans="3:8" x14ac:dyDescent="0.2">
      <c r="C24" s="130"/>
      <c r="D24" s="131"/>
      <c r="E24" s="131"/>
      <c r="F24" s="132"/>
      <c r="G24" s="131"/>
      <c r="H24" s="131"/>
    </row>
    <row r="25" spans="3:8" ht="13.5" thickBot="1" x14ac:dyDescent="0.25">
      <c r="C25" s="133"/>
      <c r="D25" s="134"/>
      <c r="E25" s="134"/>
      <c r="F25" s="135"/>
      <c r="G25" s="136"/>
      <c r="H25" s="137"/>
    </row>
    <row r="26" spans="3:8" ht="13.5" thickTop="1" x14ac:dyDescent="0.2"/>
    <row r="41" spans="7:9" x14ac:dyDescent="0.2">
      <c r="G41" s="119"/>
      <c r="I41" s="138"/>
    </row>
    <row r="43" spans="7:9" x14ac:dyDescent="0.2">
      <c r="G43" s="119"/>
      <c r="H43" s="138"/>
      <c r="I43" s="138"/>
    </row>
    <row r="51" spans="4:4" x14ac:dyDescent="0.2">
      <c r="D51" s="6"/>
    </row>
  </sheetData>
  <phoneticPr fontId="2" type="noConversion"/>
  <hyperlinks>
    <hyperlink ref="D8" r:id="rId1"/>
    <hyperlink ref="D9" r:id="rId2"/>
    <hyperlink ref="D10" r:id="rId3"/>
    <hyperlink ref="D11" r:id="rId4"/>
    <hyperlink ref="D12" r:id="rId5"/>
    <hyperlink ref="D13" r:id="rId6"/>
    <hyperlink ref="D14" r:id="rId7"/>
  </hyperlinks>
  <pageMargins left="0.75" right="0.75" top="1" bottom="1" header="0.5" footer="0.5"/>
  <pageSetup paperSize="9" orientation="portrait" r:id="rId8"/>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3"/>
  <sheetViews>
    <sheetView workbookViewId="0">
      <selection activeCell="C4" sqref="C4"/>
    </sheetView>
  </sheetViews>
  <sheetFormatPr defaultRowHeight="12.75" x14ac:dyDescent="0.2"/>
  <cols>
    <col min="1" max="1" width="21.5703125" bestFit="1" customWidth="1"/>
    <col min="2" max="2" width="6.7109375" bestFit="1" customWidth="1"/>
    <col min="3" max="3" width="7.28515625" bestFit="1" customWidth="1"/>
  </cols>
  <sheetData>
    <row r="1" spans="1:3" ht="15" x14ac:dyDescent="0.25">
      <c r="A1" s="160" t="s">
        <v>103</v>
      </c>
      <c r="B1" s="161"/>
    </row>
    <row r="2" spans="1:3" ht="15" x14ac:dyDescent="0.25">
      <c r="A2" s="162" t="s">
        <v>104</v>
      </c>
      <c r="B2" s="163">
        <f>COUNTIF(Sprint!$A$29:$A$65, "Feature")</f>
        <v>0</v>
      </c>
      <c r="C2" s="168" t="e">
        <f>B2/$B$6</f>
        <v>#DIV/0!</v>
      </c>
    </row>
    <row r="3" spans="1:3" ht="15" x14ac:dyDescent="0.25">
      <c r="A3" s="162" t="s">
        <v>105</v>
      </c>
      <c r="B3" s="163">
        <f>COUNTIF(Sprint!$A$29:$A$65, "Tax")</f>
        <v>0</v>
      </c>
      <c r="C3" s="168" t="e">
        <f t="shared" ref="C3:C5" si="0">B3/$B$6</f>
        <v>#DIV/0!</v>
      </c>
    </row>
    <row r="4" spans="1:3" ht="15" x14ac:dyDescent="0.25">
      <c r="A4" s="162" t="s">
        <v>106</v>
      </c>
      <c r="B4" s="163">
        <f>COUNTIF(Sprint!$A$29:$A$65, "Precondition")</f>
        <v>0</v>
      </c>
      <c r="C4" s="168" t="e">
        <f t="shared" si="0"/>
        <v>#DIV/0!</v>
      </c>
    </row>
    <row r="5" spans="1:3" ht="15" x14ac:dyDescent="0.25">
      <c r="A5" s="162" t="s">
        <v>107</v>
      </c>
      <c r="B5" s="163">
        <f>COUNTIF(Sprint!$A$29:$A$65, "Spike")</f>
        <v>0</v>
      </c>
      <c r="C5" s="168" t="e">
        <f t="shared" si="0"/>
        <v>#DIV/0!</v>
      </c>
    </row>
    <row r="6" spans="1:3" ht="15" x14ac:dyDescent="0.25">
      <c r="A6" s="164" t="s">
        <v>127</v>
      </c>
      <c r="B6" s="169">
        <f>SUM(B2:B5)</f>
        <v>0</v>
      </c>
      <c r="C6" s="170" t="e">
        <f>SUM(C2:C5)</f>
        <v>#DIV/0!</v>
      </c>
    </row>
    <row r="7" spans="1:3" ht="15" x14ac:dyDescent="0.25">
      <c r="A7" s="163"/>
      <c r="B7" s="163"/>
    </row>
    <row r="8" spans="1:3" ht="15" x14ac:dyDescent="0.25">
      <c r="A8" s="164" t="s">
        <v>108</v>
      </c>
      <c r="B8" s="163"/>
    </row>
    <row r="9" spans="1:3" ht="15" x14ac:dyDescent="0.25">
      <c r="A9" s="162" t="s">
        <v>109</v>
      </c>
      <c r="B9" s="163">
        <f>COUNTIF(Sprint!$B$29:$B$182, "Data Model")</f>
        <v>0</v>
      </c>
      <c r="C9" s="168" t="e">
        <f>B9/$B$25</f>
        <v>#DIV/0!</v>
      </c>
    </row>
    <row r="10" spans="1:3" ht="15" x14ac:dyDescent="0.25">
      <c r="A10" s="162" t="s">
        <v>110</v>
      </c>
      <c r="B10" s="163">
        <f>COUNTIF(Sprint!$B$29:$B$182, "Integration Model")</f>
        <v>0</v>
      </c>
      <c r="C10" s="168" t="e">
        <f>B10/$B$25</f>
        <v>#DIV/0!</v>
      </c>
    </row>
    <row r="11" spans="1:3" ht="15" x14ac:dyDescent="0.25">
      <c r="A11" s="162" t="s">
        <v>111</v>
      </c>
      <c r="B11" s="163">
        <f>COUNTIF(Sprint!$B$29:$B$182, "System Frameworks")</f>
        <v>0</v>
      </c>
      <c r="C11" s="168" t="e">
        <f>B11/$B$25</f>
        <v>#DIV/0!</v>
      </c>
    </row>
    <row r="12" spans="1:3" ht="15" x14ac:dyDescent="0.25">
      <c r="A12" s="162" t="s">
        <v>112</v>
      </c>
      <c r="B12" s="163">
        <f>COUNTIF(Sprint!$B$29:$B$182, "Data Conversions")</f>
        <v>0</v>
      </c>
      <c r="C12" s="168" t="e">
        <f t="shared" ref="C12:C24" si="1">B12/$B$25</f>
        <v>#DIV/0!</v>
      </c>
    </row>
    <row r="13" spans="1:3" ht="15" x14ac:dyDescent="0.25">
      <c r="A13" s="162" t="s">
        <v>113</v>
      </c>
      <c r="B13" s="163">
        <f>COUNTIF(Sprint!$B$29:$B$182, "Security")</f>
        <v>0</v>
      </c>
      <c r="C13" s="168" t="e">
        <f t="shared" si="1"/>
        <v>#DIV/0!</v>
      </c>
    </row>
    <row r="14" spans="1:3" ht="15" x14ac:dyDescent="0.25">
      <c r="A14" s="162" t="s">
        <v>114</v>
      </c>
      <c r="B14" s="163">
        <f>COUNTIF(Sprint!$B$29:$B$182, "Cash Payment Tracking")</f>
        <v>0</v>
      </c>
      <c r="C14" s="168" t="e">
        <f t="shared" si="1"/>
        <v>#DIV/0!</v>
      </c>
    </row>
    <row r="15" spans="1:3" ht="15" x14ac:dyDescent="0.25">
      <c r="A15" s="162" t="s">
        <v>115</v>
      </c>
      <c r="B15" s="163">
        <f>COUNTIF(Sprint!$B$29:$B$182, "Views")</f>
        <v>0</v>
      </c>
      <c r="C15" s="168" t="e">
        <f t="shared" si="1"/>
        <v>#DIV/0!</v>
      </c>
    </row>
    <row r="16" spans="1:3" ht="15" x14ac:dyDescent="0.25">
      <c r="A16" s="162" t="s">
        <v>116</v>
      </c>
      <c r="B16" s="163">
        <f>COUNTIF(Sprint!$B$29:$B$182, "Lookups")</f>
        <v>0</v>
      </c>
      <c r="C16" s="168" t="e">
        <f t="shared" si="1"/>
        <v>#DIV/0!</v>
      </c>
    </row>
    <row r="17" spans="1:3" ht="15" x14ac:dyDescent="0.25">
      <c r="A17" s="162" t="s">
        <v>117</v>
      </c>
      <c r="B17" s="163">
        <f>COUNTIF(Sprint!$B$29:$B$182, "Detail screens")</f>
        <v>0</v>
      </c>
      <c r="C17" s="168" t="e">
        <f t="shared" si="1"/>
        <v>#DIV/0!</v>
      </c>
    </row>
    <row r="18" spans="1:3" ht="15" x14ac:dyDescent="0.25">
      <c r="A18" s="162" t="s">
        <v>118</v>
      </c>
      <c r="B18" s="163">
        <f>COUNTIF(Sprint!$B$29:$B$182, "Notifications")</f>
        <v>0</v>
      </c>
      <c r="C18" s="168" t="e">
        <f t="shared" si="1"/>
        <v>#DIV/0!</v>
      </c>
    </row>
    <row r="19" spans="1:3" ht="15" x14ac:dyDescent="0.25">
      <c r="A19" s="162" t="s">
        <v>119</v>
      </c>
      <c r="B19" s="163">
        <f>COUNTIF(Sprint!$B$29:$B$182, "Reports")</f>
        <v>0</v>
      </c>
      <c r="C19" s="168" t="e">
        <f t="shared" si="1"/>
        <v>#DIV/0!</v>
      </c>
    </row>
    <row r="20" spans="1:3" ht="15" x14ac:dyDescent="0.25">
      <c r="A20" s="162" t="s">
        <v>120</v>
      </c>
      <c r="B20" s="163">
        <f>COUNTIF(Sprint!$B$29:$B$182, "Installation Package")</f>
        <v>0</v>
      </c>
      <c r="C20" s="168" t="e">
        <f t="shared" si="1"/>
        <v>#DIV/0!</v>
      </c>
    </row>
    <row r="21" spans="1:3" ht="15" x14ac:dyDescent="0.25">
      <c r="A21" s="162" t="s">
        <v>121</v>
      </c>
      <c r="B21" s="163">
        <f>COUNTIF(Sprint!$B$29:$B$182, "Deployment")</f>
        <v>0</v>
      </c>
      <c r="C21" s="168" t="e">
        <f t="shared" si="1"/>
        <v>#DIV/0!</v>
      </c>
    </row>
    <row r="22" spans="1:3" ht="15" x14ac:dyDescent="0.25">
      <c r="A22" s="162" t="s">
        <v>122</v>
      </c>
      <c r="B22" s="163">
        <f>COUNTIF(Sprint!$B$29:$B$182, "Documentation")</f>
        <v>0</v>
      </c>
      <c r="C22" s="168" t="e">
        <f t="shared" si="1"/>
        <v>#DIV/0!</v>
      </c>
    </row>
    <row r="23" spans="1:3" ht="15" x14ac:dyDescent="0.25">
      <c r="A23" s="162" t="s">
        <v>123</v>
      </c>
      <c r="B23" s="163">
        <f>COUNTIF(Sprint!$B$29:$B$182, "Testing")</f>
        <v>0</v>
      </c>
      <c r="C23" s="168" t="e">
        <f t="shared" si="1"/>
        <v>#DIV/0!</v>
      </c>
    </row>
    <row r="24" spans="1:3" ht="15" x14ac:dyDescent="0.25">
      <c r="A24" s="162" t="s">
        <v>124</v>
      </c>
      <c r="B24" s="163">
        <f>COUNTIF(Sprint!$B$29:$B$182, "Project Mgt")</f>
        <v>0</v>
      </c>
      <c r="C24" s="168" t="e">
        <f t="shared" si="1"/>
        <v>#DIV/0!</v>
      </c>
    </row>
    <row r="25" spans="1:3" ht="15" x14ac:dyDescent="0.25">
      <c r="A25" s="164" t="s">
        <v>127</v>
      </c>
      <c r="B25" s="167">
        <f>SUM(B9:B24)</f>
        <v>0</v>
      </c>
      <c r="C25" s="168" t="e">
        <f>SUM(C9:C24)</f>
        <v>#DIV/0!</v>
      </c>
    </row>
    <row r="27" spans="1:3" ht="15" x14ac:dyDescent="0.25">
      <c r="A27" s="166" t="s">
        <v>126</v>
      </c>
    </row>
    <row r="28" spans="1:3" ht="15" x14ac:dyDescent="0.25">
      <c r="A28" s="162" t="s">
        <v>128</v>
      </c>
      <c r="B28" s="163">
        <f ca="1">COUNTIF(Sprint!$G$4:$G$41, "Complete")</f>
        <v>0</v>
      </c>
      <c r="C28" s="168" t="e">
        <f ca="1">B28/$B$33</f>
        <v>#DIV/0!</v>
      </c>
    </row>
    <row r="29" spans="1:3" ht="15" x14ac:dyDescent="0.25">
      <c r="A29" s="162" t="s">
        <v>129</v>
      </c>
      <c r="B29" s="163">
        <f ca="1">COUNTIF(Sprint!$G$4:$G$41, "In Progress")</f>
        <v>0</v>
      </c>
      <c r="C29" s="168" t="e">
        <f t="shared" ref="C29:C32" ca="1" si="2">B29/$B$33</f>
        <v>#DIV/0!</v>
      </c>
    </row>
    <row r="30" spans="1:3" ht="15" x14ac:dyDescent="0.25">
      <c r="A30" s="162" t="s">
        <v>130</v>
      </c>
      <c r="B30" s="163">
        <f ca="1">COUNTIF(Sprint!$G$4:$G$41, "Pending")</f>
        <v>0</v>
      </c>
      <c r="C30" s="168" t="e">
        <f t="shared" ca="1" si="2"/>
        <v>#DIV/0!</v>
      </c>
    </row>
    <row r="31" spans="1:3" ht="15" x14ac:dyDescent="0.25">
      <c r="A31" s="162" t="s">
        <v>125</v>
      </c>
      <c r="B31" s="163">
        <f ca="1">COUNTIF(Sprint!$G$4:$G$41, "Postponed")</f>
        <v>0</v>
      </c>
      <c r="C31" s="168" t="e">
        <f t="shared" ca="1" si="2"/>
        <v>#DIV/0!</v>
      </c>
    </row>
    <row r="32" spans="1:3" ht="15" x14ac:dyDescent="0.25">
      <c r="A32" s="166" t="s">
        <v>131</v>
      </c>
      <c r="B32" s="163">
        <f ca="1">COUNTIF(Sprint!$G$4:$G$41, "Cancelled")</f>
        <v>0</v>
      </c>
      <c r="C32" s="168" t="e">
        <f t="shared" ca="1" si="2"/>
        <v>#DIV/0!</v>
      </c>
    </row>
    <row r="33" spans="1:3" ht="15" x14ac:dyDescent="0.25">
      <c r="A33" s="171" t="s">
        <v>127</v>
      </c>
      <c r="B33" s="172">
        <f ca="1">SUM(B28:B32)</f>
        <v>0</v>
      </c>
      <c r="C33" s="173" t="e">
        <f ca="1">SUM(C28:C32)</f>
        <v>#DIV/0!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Sprint</vt:lpstr>
      <vt:lpstr>Analysis</vt:lpstr>
      <vt:lpstr>Capacity</vt:lpstr>
      <vt:lpstr>Team Roster</vt:lpstr>
      <vt:lpstr>Project Specific Reports</vt:lpstr>
      <vt:lpstr>Analysis!Burndown</vt:lpstr>
      <vt:lpstr>Burndown</vt:lpstr>
      <vt:lpstr>Analysis!BurndownColumns</vt:lpstr>
      <vt:lpstr>BurndownColumns</vt:lpstr>
      <vt:lpstr>Analysis!DailyScrumDateModifier</vt:lpstr>
      <vt:lpstr>DailyScrumDateModifier</vt:lpstr>
      <vt:lpstr>Deliverable</vt:lpstr>
      <vt:lpstr>Analysis!HoursLeftColumn</vt:lpstr>
      <vt:lpstr>HoursLeftColumn</vt:lpstr>
      <vt:lpstr>Analysis!HoursSpentColumn</vt:lpstr>
      <vt:lpstr>HoursSpentColumn</vt:lpstr>
      <vt:lpstr>Analysis!LeftColumn</vt:lpstr>
      <vt:lpstr>LeftColumn</vt:lpstr>
      <vt:lpstr>Analysis!SkipWeekends</vt:lpstr>
      <vt:lpstr>SkipWeekends</vt:lpstr>
      <vt:lpstr>Analysis!SpentColumn</vt:lpstr>
      <vt:lpstr>SpentColumn</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lpstr>Capacity!Область_печати</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Anastasia</cp:lastModifiedBy>
  <cp:revision>1</cp:revision>
  <cp:lastPrinted>2005-08-15T09:18:22Z</cp:lastPrinted>
  <dcterms:created xsi:type="dcterms:W3CDTF">2005-01-26T21:50:47Z</dcterms:created>
  <dcterms:modified xsi:type="dcterms:W3CDTF">2016-12-24T08:18:56Z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y fmtid="{D5CDD505-2E9C-101B-9397-08002B2CF9AE}" pid="5" name="WorkbookGuid">
    <vt:lpwstr>b67c9da1-9267-483c-b360-44df572f671f</vt:lpwstr>
  </property>
</Properties>
</file>